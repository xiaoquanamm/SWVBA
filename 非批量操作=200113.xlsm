
<file path=[Content_Types].xml><?xml version="1.0" encoding="utf-8"?>
<Types xmlns="http://schemas.openxmlformats.org/package/2006/content-types">
  <Override PartName="/xl/activeX/activeX9.xml" ContentType="application/vnd.ms-office.activeX+xml"/>
  <Override PartName="/xl/activeX/activeX59.xml" ContentType="application/vnd.ms-office.activeX+xml"/>
  <Override PartName="/xl/activeX/activeX68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activeX/activeX57.xml" ContentType="application/vnd.ms-office.activeX+xml"/>
  <Override PartName="/xl/activeX/activeX66.xml" ContentType="application/vnd.ms-office.activeX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activeX/activeX64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Default Extension="bin" ContentType="application/vnd.openxmlformats-officedocument.spreadsheetml.printerSettings"/>
  <Override PartName="/xl/activeX/activeX69.xml" ContentType="application/vnd.ms-office.activeX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58.xml" ContentType="application/vnd.ms-office.activeX+xml"/>
  <Override PartName="/xl/activeX/activeX67.xml" ContentType="application/vnd.ms-office.activeX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65.xml" ContentType="application/vnd.ms-office.activeX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24519" concurrentCalc="0"/>
</workbook>
</file>

<file path=xl/calcChain.xml><?xml version="1.0" encoding="utf-8"?>
<calcChain xmlns="http://schemas.openxmlformats.org/spreadsheetml/2006/main">
  <c r="J8" i="1"/>
  <c r="B4" i="2"/>
  <c r="A4"/>
  <c r="B3"/>
  <c r="A2"/>
  <c r="J1"/>
  <c r="K24" i="1"/>
  <c r="K23"/>
  <c r="K22"/>
  <c r="F2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<sst xmlns="http://schemas.openxmlformats.org/spreadsheetml/2006/main" count="224" uniqueCount="191">
  <si>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</si>
  <si>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</si>
  <si>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</si>
  <si>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</si>
  <si>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</si>
  <si>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</si>
  <si>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</si>
  <si>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</si>
  <si>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</si>
  <si>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</si>
  <si>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</si>
  <si>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</si>
  <si>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</si>
  <si>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</si>
  <si>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</si>
  <si>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</si>
  <si>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</si>
  <si>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</si>
  <si>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</si>
  <si>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</si>
  <si>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</si>
  <si>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</si>
  <si>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</si>
  <si>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</si>
  <si>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</si>
  <si>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</si>
  <si>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</si>
  <si>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</si>
  <si>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</si>
  <si>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</si>
  <si>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</si>
  <si>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</si>
  <si>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</si>
  <si>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</si>
  <si>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</si>
  <si>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</si>
  <si>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</si>
  <si>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</si>
  <si>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</si>
  <si>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</si>
  <si>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</si>
  <si>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</si>
  <si>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</si>
  <si>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</si>
  <si>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</si>
  <si>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</si>
  <si>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</si>
  <si>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</si>
  <si>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</si>
  <si>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</si>
  <si>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</si>
  <si>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</si>
  <si>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</si>
  <si>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</si>
  <si>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</si>
  <si>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</si>
  <si>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</si>
  <si>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</si>
  <si>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</si>
  <si>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</si>
  <si>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</si>
  <si>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</si>
  <si>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</si>
  <si>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</si>
  <si>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</si>
  <si>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</si>
  <si>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</si>
  <si>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</si>
  <si>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</si>
  <si>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</si>
  <si>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</si>
  <si>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</si>
  <si>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</si>
  <si>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</si>
  <si>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</si>
  <si>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</si>
  <si>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</si>
  <si>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</si>
  <si>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</si>
  <si>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</si>
  <si>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</si>
  <si>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</si>
  <si>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</si>
  <si>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</si>
  <si>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</si>
  <si>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</si>
  <si>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</si>
  <si>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</si>
  <si>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</si>
  <si>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</si>
  <si>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</si>
  <si>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</si>
  <si>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</si>
  <si>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</si>
  <si>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</si>
  <si>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</si>
  <si>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</si>
  <si>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</si>
  <si>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</si>
  <si>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</si>
  <si>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</si>
  <si>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</si>
  <si>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</si>
  <si>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</si>
  <si>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</si>
  <si>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</si>
  <si>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</si>
  <si>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</si>
  <si>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</si>
  <si>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</si>
  <si>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</si>
  <si>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</si>
  <si>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</si>
  <si>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</si>
  <si>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</si>
  <si>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</si>
  <si>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</si>
  <si>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</si>
  <si>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</si>
  <si>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</si>
  <si>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</si>
  <si>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</si>
  <si>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</si>
  <si>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</si>
  <si>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</si>
  <si>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</si>
  <si>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</si>
  <si>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</si>
  <si>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</si>
  <si>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</si>
  <si>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</si>
  <si>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</si>
  <si>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</si>
  <si>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</si>
  <si>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</si>
  <si>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</si>
  <si>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</si>
  <si>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</si>
  <si>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</si>
  <si>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</si>
  <si>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</si>
  <si>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</si>
  <si>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</si>
  <si>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</si>
  <si>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</si>
  <si>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</si>
  <si>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</si>
  <si>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</si>
  <si>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</si>
  <si>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</si>
  <si>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</si>
  <si>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</si>
  <si>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</si>
  <si>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</si>
  <si>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</si>
  <si>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</si>
  <si>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</si>
  <si>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</si>
  <si>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</si>
  <si>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</si>
  <si>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</si>
  <si>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\\192.168.1.198\文控中心\工程图纸\技德机械项目\Z19021-M0A-D01中鼎40CH拘束托盘-机械BOM表\3D\中鼎40通道托盘\订单图纸\方案\拘束托盘\B.C款\打包文件\</t>
    <phoneticPr fontId="20" type="noConversion"/>
  </si>
  <si>
    <t>Z19021-M0A-D01-00</t>
    <phoneticPr fontId="20" type="noConversion"/>
  </si>
  <si>
    <t>D:\00gyk\00sw公用\swvba\系列零件设计表模板.xlsm</t>
    <phoneticPr fontId="20" type="noConversion"/>
  </si>
  <si>
    <t>1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</si>
  <si>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</si>
  <si>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</si>
  <si>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</si>
  <si>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</si>
  <si>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</si>
  <si>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</si>
  <si>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</si>
  <si>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</si>
  <si>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</si>
  <si>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</si>
  <si>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</si>
  <si>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</si>
  <si>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</si>
  <si>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</si>
  <si>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</si>
  <si>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</si>
  <si>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</si>
  <si>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</si>
  <si>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</si>
  <si>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</si>
  <si>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</si>
  <si>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</si>
  <si>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</si>
  <si>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数控双面</t>
    <phoneticPr fontId="20" type="noConversion"/>
  </si>
  <si>
    <t>风琴罩</t>
    <phoneticPr fontId="20" type="noConversion"/>
  </si>
  <si>
    <t>细节项目517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</si>
</sst>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&quot;共&quot;@&quot;张&quot;"/>
    <numFmt numFmtId="177" formatCode="&quot;第&quot;@&quot;张&quot;"/>
  </numFmts>
  <fonts count="24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填往属性exl"/>
  <ax:ocxPr ax:name="Size" ax:value="2667;677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0"/>
  <ax:ocxPr ax:name="Caption" ax:value="加点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1"/>
  <ax:ocxPr ax:name="Caption" ax:value="从动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按点阵列草图建阵列（选中总长尺寸）"/>
  <ax:ocxPr ax:name="Size" ax:value="3969;134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32;572"/>
  <ax:ocxPr ax:name="Value" ax:value="1"/>
  <ax:ocxPr ax:name="Caption" ax:value="重合原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中心线矩形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等距曲面"/>
  <ax:ocxPr ax:name="Size" ax:value="2011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更新外部参考"/>
  <ax:ocxPr ax:name="Size" ax:value="280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坐标系(仅选择零件)"/>
  <ax:ocxPr ax:name="Size" ax:value="4763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选定/当前对象"/>
  <ax:ocxPr ax:name="Size" ax:value="3149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工程图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配合(仅选择零件)"/>
  <ax:ocxPr ax:name="Size" ax:value="4868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重生成指定配置"/>
  <ax:ocxPr ax:name="Size" ax:value="317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特征加后缀"/>
  <ax:ocxPr ax:name="Size" ax:value="246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主体配置"/>
  <ax:ocxPr ax:name="Size" ax:value="283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坐标系(替换零部件后用)"/>
  <ax:ocxPr ax:name="Size" ax:value="5652;6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改名(零部件改名后用)"/>
  <ax:ocxPr ax:name="Size" ax:value="566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切割清单属性to配置特定"/>
  <ax:ocxPr ax:name="Size" ax:value="1746;190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粘贴技术要求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修改张数"/>
  <ax:ocxPr ax:name="Size" ax:value="2223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派生草图到其他零件"/>
  <ax:ocxPr ax:name="Size" ax:value="399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0;572"/>
  <ax:ocxPr ax:name="Value" ax:value="0"/>
  <ax:ocxPr ax:name="Caption" ax:value="全选实体面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等距"/>
  <ax:ocxPr ax:name="Size" ax:value="203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装配体"/>
  <ax:ocxPr ax:name="Size" ax:value="2455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所选外插(最末一个为容器)"/>
  <ax:ocxPr ax:name="Size" ax:value="3175;120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58;529"/>
  <ax:ocxPr ax:name="Value" ax:value="0"/>
  <ax:ocxPr ax:name="Caption" ax:value="清单排除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984;661"/>
  <ax:ocxPr ax:name="Value" ax:value="0"/>
  <ax:ocxPr ax:name="Caption" ax:value="钣金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09"/>
  <ax:ocxPr ax:name="Value" ax:value="0"/>
  <ax:ocxPr ax:name="Caption" ax:value="机加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35"/>
  <ax:ocxPr ax:name="Value" ax:value="1"/>
  <ax:ocxPr ax:name="Caption" ax:value="焊件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换实体"/>
  <ax:ocxPr ax:name="Size" ax:value="201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439;550"/>
  <ax:ocxPr ax:name="Value" ax:value="0"/>
  <ax:ocxPr ax:name="Caption" ax:value="虚拟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孔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零件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装配体"/>
  <ax:ocxPr ax:name="Size" ax:value="275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零件"/>
  <ax:ocxPr ax:name="Size" ax:value="2201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阵列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打开加配置名工程图"/>
  <ax:ocxPr ax:name="Size" ax:value="41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0"/>
  <ax:ocxPr ax:name="Caption" ax:value="实体所有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349;556"/>
  <ax:ocxPr ax:name="Value" ax:value="0"/>
  <ax:ocxPr ax:name="Caption" ax:value="坐标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773;582"/>
  <ax:ocxPr ax:name="Value" ax:value="0"/>
  <ax:ocxPr ax:name="Caption" ax:value="2d草图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锁定"/>
  <ax:ocxPr ax:name="Size" ax:value="1349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解锁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切换主从尺寸"/>
  <ax:ocxPr ax:name="Size" ax:value="926;291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四点孔"/>
  <ax:ocxPr ax:name="Size" ax:value="161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两点孔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1"/>
  <ax:ocxPr ax:name="Caption" ax:value="改绘图标准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模型设置标准化"/>
  <ax:ocxPr ax:name="Size" ax:value="206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49;1588"/>
  <ax:ocxPr ax:name="Value" ax:value="1"/>
  <ax:ocxPr ax:name="Caption" ax:value="加方程式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82;656"/>
  <ax:ocxPr ax:name="Value" ax:value="1"/>
  <ax:ocxPr ax:name="Caption" ax:value="单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588;614"/>
  <ax:ocxPr ax:name="Value" ax:value="0"/>
  <ax:ocxPr ax:name="Caption" ax:value="双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点阵列草图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孔"/>
  <ax:ocxPr ax:name="Size" ax:value="1037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直线"/>
  <ax:ocxPr ax:name="Size" ax:value="1778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间距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1"/>
  <ax:ocxPr ax:name="Caption" ax:value="求总长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数量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台阶"/>
  <ax:ocxPr ax:name="Size" ax:value="926;18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矩形板"/>
  <ax:ocxPr ax:name="Size" ax:value="931;163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通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1"/>
  <ax:ocxPr ax:name="Caption" ax:value="螺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平键轴槽"/>
  <ax:ocxPr ax:name="Size" ax:value="1958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内外卡槽"/>
  <ax:ocxPr ax:name="Size" ax:value="2011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328;762"/>
  <ax:ocxPr ax:name="Value" ax:value="1"/>
  <ax:ocxPr ax:name="Caption" ax:value="拖动定大小"/>
  <ax:ocxPr ax:name="GroupName" ax:value="定形定位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032;614"/>
  <ax:ocxPr ax:name="Value" ax:value="0"/>
  <ax:ocxPr ax:name="Caption" ax:value="预定大小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1984;635"/>
  <ax:ocxPr ax:name="Value" ax:value="0"/>
  <ax:ocxPr ax:name="Caption" ax:value="找边定距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复制插入零件切割清单属性(如镜像焊接件)"/>
  <ax:ocxPr ax:name="Size" ax:value="1931;24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实体转零件(更新属性)"/>
  <ax:ocxPr ax:name="Size" ax:value="2487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N9(轴键槽)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腰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同步改名工程图"/>
  <ax:ocxPr ax:name="Size" ax:value="198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列出文件夹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1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添加到sw搜索路径"/>
  <ax:ocxPr ax:name="Size" ax:value="2434;113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61" Type="http://schemas.openxmlformats.org/officeDocument/2006/relationships/image" Target="../media/image61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9" Type="http://schemas.openxmlformats.org/officeDocument/2006/relationships/control" Target="../activeX/activeX27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66" Type="http://schemas.openxmlformats.org/officeDocument/2006/relationships/control" Target="../activeX/activeX6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61" Type="http://schemas.openxmlformats.org/officeDocument/2006/relationships/control" Target="../activeX/activeX59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73" Type="http://schemas.openxmlformats.org/officeDocument/2006/relationships/comments" Target="../comments1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ntrol" Target="../activeX/activeX70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control" Target="../activeX/activeX71.xml"/><Relationship Id="rId1" Type="http://schemas.openxmlformats.org/officeDocument/2006/relationships/vmlDrawing" Target="../drawings/vmlDrawing2.vml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34"/>
  <sheetViews>
    <sheetView tabSelected="1" zoomScale="130" zoomScaleNormal="130" workbookViewId="0">
      <selection activeCell="J18" sqref="J18"/>
    </sheetView>
  </sheetViews>
  <sheetFormatPr defaultColWidth="9" defaultRowHeight="13.5"/>
  <cols>
    <col min="1" max="1" width="11" customWidth="1"/>
    <col min="2" max="2" width="9" customWidth="1"/>
  </cols>
  <sheetData>
    <row r="1" spans="1:14" s="17" customFormat="1" ht="24" customHeight="1">
      <c r="A1" s="21"/>
      <c r="B1" s="54" t="s">
        <v>0</v>
      </c>
      <c r="C1" s="55" t="s">
        <v>1</v>
      </c>
      <c r="D1" s="8"/>
    </row>
    <row r="2" spans="1:14" ht="27" customHeight="1">
      <c r="A2" s="23"/>
      <c r="B2" s="24">
        <v>99</v>
      </c>
      <c r="C2" s="25">
        <v>122</v>
      </c>
      <c r="D2" s="3"/>
    </row>
    <row r="3" spans="1:14">
      <c r="A3" s="21"/>
      <c r="B3" s="22" t="s">
        <v>2</v>
      </c>
      <c r="C3" s="22" t="s">
        <v>3</v>
      </c>
      <c r="D3" s="26"/>
      <c r="E3" s="27"/>
    </row>
    <row r="4" spans="1:14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>
      <c r="A6" s="30" t="s">
        <v>4</v>
      </c>
      <c r="C6" s="31" t="s">
        <v>5</v>
      </c>
      <c r="D6" s="60" t="s">
        <v>6</v>
      </c>
      <c r="M6" s="31" t="s">
        <v>11</v>
      </c>
      <c r="N6" s="45" t="s">
        <v>12</v>
      </c>
    </row>
    <row r="7" spans="1:14" ht="30" customHeight="1">
      <c r="A7" s="33" t="s">
        <v>13</v>
      </c>
      <c r="C7" s="34" t="s">
        <v>14</v>
      </c>
      <c r="D7" s="61"/>
      <c r="M7" s="12" t="s">
        <v>163</v>
      </c>
      <c r="N7" s="46" t="s">
        <v>19</v>
      </c>
    </row>
    <row r="8" spans="1:14">
      <c r="B8" s="3"/>
      <c r="C8" s="3"/>
      <c r="J8">
        <f>3325/3</f>
        <v>1108.3333333333333</v>
      </c>
    </row>
    <row r="9" spans="1:14" ht="14.25" thickBot="1">
      <c r="B9" s="3"/>
      <c r="C9" s="3"/>
      <c r="N9" s="14"/>
    </row>
    <row r="10" spans="1:14" s="19" customFormat="1" ht="18.75" customHeight="1" thickTop="1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7" t="s">
        <v>34</v>
      </c>
    </row>
    <row r="11" spans="1:14">
      <c r="A11" s="5" t="s">
        <v>165</v>
      </c>
      <c r="B11" s="53" t="s">
        <v>188</v>
      </c>
      <c r="C11" s="59" t="s">
        <v>189</v>
      </c>
      <c r="D11" s="59"/>
      <c r="J11" s="15" t="s">
        <v>166</v>
      </c>
      <c r="K11" s="15" t="s">
        <v>167</v>
      </c>
      <c r="L11" s="15" t="s">
        <v>168</v>
      </c>
      <c r="M11" s="48" t="s">
        <v>169</v>
      </c>
      <c r="N11" s="48"/>
    </row>
    <row r="12" spans="1:14">
      <c r="A12" t="s">
        <v>35</v>
      </c>
      <c r="B12" s="37" t="s">
        <v>164</v>
      </c>
      <c r="J12" s="52">
        <v>12779</v>
      </c>
      <c r="K12" s="51">
        <v>1419.8888888888889</v>
      </c>
      <c r="L12" s="51">
        <v>1419.8888888888889</v>
      </c>
      <c r="M12" s="52">
        <v>8</v>
      </c>
    </row>
    <row r="13" spans="1:14" s="19" customFormat="1" ht="18.75" customHeight="1">
      <c r="A13" s="36"/>
    </row>
    <row r="18" spans="1:19" ht="27.75" customHeight="1">
      <c r="A18" s="38" t="s">
        <v>36</v>
      </c>
    </row>
    <row r="21" spans="1:19" s="19" customFormat="1">
      <c r="A21" s="63" t="s">
        <v>37</v>
      </c>
      <c r="B21" s="63"/>
      <c r="C21" s="63"/>
      <c r="D21" s="63" t="s">
        <v>38</v>
      </c>
      <c r="E21" s="63"/>
      <c r="F21" s="39" t="str">
        <f>HYPERLINK(G21,"→")</f>
        <v>→</v>
      </c>
      <c r="G21" s="40" t="s">
        <v>39</v>
      </c>
      <c r="K21" s="49" t="s">
        <v>40</v>
      </c>
    </row>
    <row r="22" spans="1:19">
      <c r="A22" s="59" t="s">
        <v>161</v>
      </c>
      <c r="B22" s="59"/>
      <c r="C22" s="59"/>
      <c r="D22" s="59" t="s">
        <v>162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>
      <c r="A25" s="14"/>
      <c r="G25" s="14"/>
    </row>
    <row r="26" spans="1:19">
      <c r="A26" s="14"/>
      <c r="E26" s="5" t="s">
        <v>44</v>
      </c>
      <c r="F26" s="41"/>
      <c r="G26" s="42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50" t="s">
        <v>50</v>
      </c>
      <c r="S26" s="5" t="s">
        <v>51</v>
      </c>
    </row>
    <row r="27" spans="1:19">
      <c r="A27" s="41" t="s">
        <v>52</v>
      </c>
      <c r="B27" s="42" t="s">
        <v>52</v>
      </c>
      <c r="F27" s="41"/>
      <c r="G27" s="42"/>
      <c r="I27" s="15" t="s">
        <v>190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>
      <c r="B28" s="43"/>
      <c r="C28" s="43"/>
      <c r="D28" s="43"/>
      <c r="E28" s="43"/>
      <c r="F28" s="43"/>
    </row>
    <row r="29" spans="1:19" s="6" customFormat="1" ht="14.25" thickTop="1">
      <c r="A29" s="32" t="s">
        <v>7</v>
      </c>
      <c r="B29" s="32" t="s">
        <v>8</v>
      </c>
      <c r="C29" s="32" t="s">
        <v>9</v>
      </c>
      <c r="D29" s="44" t="s">
        <v>179</v>
      </c>
      <c r="E29" s="44" t="s">
        <v>10</v>
      </c>
    </row>
    <row r="30" spans="1:19">
      <c r="A30" s="15" t="s">
        <v>186</v>
      </c>
      <c r="B30" s="15" t="s">
        <v>180</v>
      </c>
      <c r="C30" s="15" t="s">
        <v>181</v>
      </c>
      <c r="D30" s="16" t="s">
        <v>18</v>
      </c>
    </row>
    <row r="31" spans="1:19">
      <c r="A31" s="35" t="s">
        <v>20</v>
      </c>
      <c r="B31" s="35" t="s">
        <v>21</v>
      </c>
      <c r="C31" s="35" t="s">
        <v>22</v>
      </c>
      <c r="D31" s="47" t="s">
        <v>23</v>
      </c>
      <c r="F31" s="35" t="s">
        <v>184</v>
      </c>
      <c r="G31" s="35" t="s">
        <v>183</v>
      </c>
      <c r="H31" s="35" t="s">
        <v>172</v>
      </c>
    </row>
    <row r="32" spans="1:19" s="20" customFormat="1" ht="14.25">
      <c r="A32" s="15" t="s">
        <v>177</v>
      </c>
      <c r="B32" s="15" t="s">
        <v>175</v>
      </c>
      <c r="C32" s="15" t="s">
        <v>176</v>
      </c>
      <c r="D32" s="16" t="s">
        <v>18</v>
      </c>
      <c r="E32"/>
      <c r="F32" s="15" t="s">
        <v>185</v>
      </c>
      <c r="G32" s="15" t="s">
        <v>187</v>
      </c>
      <c r="H32" s="57" t="s">
        <v>178</v>
      </c>
      <c r="M32"/>
    </row>
    <row r="33" spans="1:13" s="56" customFormat="1">
      <c r="A33" s="35" t="s">
        <v>170</v>
      </c>
      <c r="B33" s="35" t="s">
        <v>171</v>
      </c>
      <c r="D33" s="47"/>
      <c r="G33" s="58" t="s">
        <v>182</v>
      </c>
    </row>
    <row r="34" spans="1:13" s="20" customFormat="1" ht="14.25">
      <c r="A34" s="15" t="s">
        <v>174</v>
      </c>
      <c r="B34" s="15" t="s">
        <v>173</v>
      </c>
      <c r="D34" s="16"/>
      <c r="E34" s="56"/>
      <c r="M34" s="56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legacyDrawing r:id="rId2"/>
  <controls>
    <control shapeId="1328" r:id="rId3" name="CommandButton1规格填往属性excel"/>
    <control shapeId="1326" r:id="rId4" name="CheckBox1加点"/>
    <control shapeId="1325" r:id="rId5" name="CheckBox1从动"/>
    <control shapeId="1324" r:id="rId6" name="CommandButton1按草图建阵列"/>
    <control shapeId="1322" r:id="rId7" name="CheckBox重合原点2"/>
    <control shapeId="1025" r:id="rId8" name="CommandButton中心线矩形"/>
    <control shapeId="1027" r:id="rId9" name="CommandButton等距曲面"/>
    <control shapeId="1030" r:id="rId10" name="CommandButton更新外部参考"/>
    <control shapeId="1032" r:id="rId11" name="CommandButton插入坐标系_仅选择"/>
    <control shapeId="1040" r:id="rId12" name="CommandButton当前sw名称"/>
    <control shapeId="1053" r:id="rId13" name="CommandButton1生成工程图"/>
    <control shapeId="1057" r:id="rId14" name="CommandButton坐标系配合"/>
    <control shapeId="1058" r:id="rId15" name="CommandButton重生成指定配置"/>
    <control shapeId="1066" r:id="rId16" name="CommandButton特征加后缀"/>
    <control shapeId="1068" r:id="rId17" name="CommandButton处理主体配置"/>
    <control shapeId="1075" r:id="rId18" name="CommandButton更新坐标系_替换后用"/>
    <control shapeId="1076" r:id="rId19" name="CommandButton1坐标系改名"/>
    <control shapeId="1077" r:id="rId20" name="CommandButton切割清单属性to配置特定"/>
    <control shapeId="1080" r:id="rId21" name="CommandButton粘贴技术要求"/>
    <control shapeId="1081" r:id="rId22" name="CommandButton修改张数"/>
    <control shapeId="1085" r:id="rId23" name="CommandButton派生草图到其他零件"/>
    <control shapeId="1086" r:id="rId24" name="CheckBox全选实体面"/>
    <control shapeId="1088" r:id="rId25" name="CommandButton更新等距"/>
    <control shapeId="1090" r:id="rId26" name="CommandButton插入外部参考装配体"/>
    <control shapeId="1091" r:id="rId27" name="CommandButton选择零件重装配"/>
    <control shapeId="1093" r:id="rId28" name="CheckBox清单排除"/>
    <control shapeId="1099" r:id="rId29" name="OptionButton钣金"/>
    <control shapeId="1100" r:id="rId30" name="OptionButton机加"/>
    <control shapeId="1101" r:id="rId31" name="OptionButton焊件"/>
    <control shapeId="1103" r:id="rId32" name="CommandButton转换实体"/>
    <control shapeId="1106" r:id="rId33" name="CheckBox虚拟"/>
    <control shapeId="1110" r:id="rId34" name="CommandButton处理孔标注"/>
    <control shapeId="1113" r:id="rId35" name="CommandButton插入新零件"/>
    <control shapeId="1119" r:id="rId36" name="CommandButton插入新装配体"/>
    <control shapeId="1129" r:id="rId37" name="CommandButton插入外部参考零件"/>
    <control shapeId="1133" r:id="rId38" name="CommandButton阵列标注"/>
    <control shapeId="1137" r:id="rId39" name="CommandButton打开加配置名工程图"/>
    <control shapeId="1138" r:id="rId40" name="CheckBox实体所有边"/>
    <control shapeId="1140" r:id="rId41" name="CheckBox坐标"/>
    <control shapeId="1142" r:id="rId42" name="CheckBox2d草图"/>
    <control shapeId="1144" r:id="rId43" name="CommandButton锁定外部参考"/>
    <control shapeId="1145" r:id="rId44" name="CommandButton解锁外部参考"/>
    <control shapeId="1153" r:id="rId45" name="CommandButton2切换主从尺寸"/>
    <control shapeId="1158" r:id="rId46" name="CommandButton2矩形四点孔"/>
    <control shapeId="1178" r:id="rId47" name="CommandButton2两点孔"/>
    <control shapeId="1180" r:id="rId48" name="CheckBox1改绘图标准"/>
    <control shapeId="1182" r:id="rId49" name="CommandButton模型设置标准化"/>
    <control shapeId="1235" r:id="rId50" name="CheckBox1加方程式"/>
    <control shapeId="1236" r:id="rId51" name="OptionButton单排"/>
    <control shapeId="1237" r:id="rId52" name="OptionButton2双排"/>
    <control shapeId="1240" r:id="rId53" name="CommandButton点阵列草图"/>
    <control shapeId="1241" r:id="rId54" name="CommandButton2点阵列草图孔"/>
    <control shapeId="1256" r:id="rId55" name="CommandButton直线"/>
    <control shapeId="1276" r:id="rId56" name="OptionButton求间距"/>
    <control shapeId="1278" r:id="rId57" name="OptionButton求总长"/>
    <control shapeId="1279" r:id="rId58" name="OptionButton求数量"/>
    <control shapeId="1280" r:id="rId59" name="CommandButton加台阶"/>
    <control shapeId="1281" r:id="rId60" name="CommandButton矩形板"/>
    <control shapeId="1293" r:id="rId61" name="OptionButton通孔"/>
    <control shapeId="1294" r:id="rId62" name="OptionButton螺孔"/>
    <control shapeId="1295" r:id="rId63" name="CommandButton平键轴槽"/>
    <control shapeId="1296" r:id="rId64" name="CommandButton内外卡槽"/>
    <control shapeId="1301" r:id="rId65" name="OptionButton拖动定大小"/>
    <control shapeId="1302" r:id="rId66" name="OptionButton预定大小"/>
    <control shapeId="1303" r:id="rId67" name="OptionButton找边定距"/>
    <control shapeId="1306" r:id="rId68" name="CommandButton复制插入零件切割清单属性"/>
    <control shapeId="1313" r:id="rId69" name="CommandButton实体转零件"/>
    <control shapeId="1316" r:id="rId70" name="CommandButtonN9"/>
    <control shapeId="1318" r:id="rId71" name="OptionButton腰孔"/>
    <control shapeId="1330" r:id="rId72" name="CommandButton1同步改名工程图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>
      <c r="D5" s="11"/>
      <c r="E5" s="11" t="s">
        <v>78</v>
      </c>
      <c r="I5" t="s">
        <v>79</v>
      </c>
    </row>
    <row r="6" spans="1:15">
      <c r="E6" s="11" t="s">
        <v>80</v>
      </c>
      <c r="I6" t="s">
        <v>81</v>
      </c>
    </row>
    <row r="7" spans="1:15">
      <c r="E7" s="11"/>
      <c r="I7" t="s">
        <v>82</v>
      </c>
    </row>
    <row r="8" spans="1:15">
      <c r="I8" t="s">
        <v>83</v>
      </c>
    </row>
    <row r="9" spans="1:15">
      <c r="I9" t="s">
        <v>84</v>
      </c>
    </row>
    <row r="10" spans="1:15">
      <c r="I10" t="s">
        <v>85</v>
      </c>
    </row>
    <row r="11" spans="1:15">
      <c r="I11" t="s">
        <v>86</v>
      </c>
    </row>
    <row r="12" spans="1:15">
      <c r="I12" t="s">
        <v>87</v>
      </c>
    </row>
    <row r="13" spans="1:15">
      <c r="I13" t="s">
        <v>88</v>
      </c>
    </row>
    <row r="14" spans="1:15">
      <c r="I14" t="s">
        <v>89</v>
      </c>
    </row>
    <row r="15" spans="1:15">
      <c r="I15" t="s">
        <v>90</v>
      </c>
    </row>
    <row r="16" spans="1:15">
      <c r="C16" s="13"/>
      <c r="I16" t="s">
        <v>91</v>
      </c>
    </row>
    <row r="17" spans="2:9">
      <c r="I17" t="s">
        <v>92</v>
      </c>
    </row>
    <row r="19" spans="2:9">
      <c r="B19" s="14" t="s">
        <v>42</v>
      </c>
    </row>
    <row r="41" spans="6:6">
      <c r="F41" s="5" t="s">
        <v>93</v>
      </c>
    </row>
    <row r="89" spans="6:6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legacyDrawing r:id="rId1"/>
  <controls>
    <control shapeId="2049" r:id="rId2" name="CommandButton列出文件夹"/>
    <control shapeId="2050" r:id="rId3" name="CheckBox搜索子文件夹"/>
    <control shapeId="2051" r:id="rId4" name="CommandButton添加到sw搜索路径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/>
  <cols>
    <col min="1" max="12" width="8.625" style="3" customWidth="1"/>
    <col min="13" max="16384" width="9" style="3"/>
  </cols>
  <sheetData>
    <row r="1" spans="1:12" s="1" customFormat="1" ht="54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PC</cp:lastModifiedBy>
  <cp:lastPrinted>2018-04-17T00:32:00Z</cp:lastPrinted>
  <dcterms:created xsi:type="dcterms:W3CDTF">2017-09-21T05:58:00Z</dcterms:created>
  <dcterms:modified xsi:type="dcterms:W3CDTF">2020-01-18T08:40:59Z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