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360" yWindow="285" windowWidth="21840" windowHeight="12150"/>
  </bookViews>
  <sheets>
    <sheet name="机加" sheetId="1" r:id="rId1"/>
    <sheet name="外购" sheetId="2" r:id="rId2"/>
  </sheets>
  <definedNames>
    <definedName name="_xlnm._FilterDatabase" localSheetId="0" hidden="1">机加!$A$1:$K$15</definedName>
    <definedName name="_xlnm._FilterDatabase" localSheetId="1" hidden="1">外购!$M$1:$N$18</definedName>
  </definedNames>
  <calcPr calcId="144525"/>
</workbook>
</file>

<file path=xl/calcChain.xml><?xml version="1.0" encoding="utf-8"?>
<calcChain xmlns="http://schemas.openxmlformats.org/spreadsheetml/2006/main">
  <c r="J23" i="2"/>
  <c r="J19"/>
  <c r="J18"/>
  <c r="J17"/>
  <c r="J16"/>
  <c r="J15"/>
  <c r="I15"/>
  <c r="J14"/>
  <c r="J13"/>
  <c r="J11"/>
  <c r="J9"/>
  <c r="J8"/>
  <c r="J7"/>
  <c r="J5"/>
  <c r="J4"/>
  <c r="J3"/>
  <c r="J2"/>
</calcChain>
</file>

<file path=xl/sharedStrings.xml><?xml version="1.0" encoding="utf-8"?>
<sst xmlns="http://schemas.openxmlformats.org/spreadsheetml/2006/main" count="251" uniqueCount="168">
  <si>
    <t>序号</t>
    <phoneticPr fontId="1" type="noConversion"/>
  </si>
  <si>
    <t>部件名称</t>
    <phoneticPr fontId="1" type="noConversion"/>
  </si>
  <si>
    <t>零件分类</t>
    <phoneticPr fontId="1" type="noConversion"/>
  </si>
  <si>
    <t>图号或型号</t>
    <phoneticPr fontId="1" type="noConversion"/>
  </si>
  <si>
    <t>名称</t>
    <phoneticPr fontId="1" type="noConversion"/>
  </si>
  <si>
    <t>材料</t>
    <phoneticPr fontId="1" type="noConversion"/>
  </si>
  <si>
    <t>供应商</t>
    <phoneticPr fontId="1" type="noConversion"/>
  </si>
  <si>
    <t>交货日期</t>
    <phoneticPr fontId="1" type="noConversion"/>
  </si>
  <si>
    <t>备注</t>
    <phoneticPr fontId="1" type="noConversion"/>
  </si>
  <si>
    <t>录入日期</t>
    <phoneticPr fontId="1" type="noConversion"/>
  </si>
  <si>
    <t>挡块</t>
    <phoneticPr fontId="1" type="noConversion"/>
  </si>
  <si>
    <t>车</t>
    <phoneticPr fontId="1" type="noConversion"/>
  </si>
  <si>
    <t>铣</t>
    <phoneticPr fontId="1" type="noConversion"/>
  </si>
  <si>
    <t xml:space="preserve"> </t>
  </si>
  <si>
    <t>深沟球轴承</t>
  </si>
  <si>
    <t xml:space="preserve">   </t>
  </si>
  <si>
    <t>马达座板</t>
    <phoneticPr fontId="1" type="noConversion"/>
  </si>
  <si>
    <t>轮轴-主动</t>
    <phoneticPr fontId="1" type="noConversion"/>
  </si>
  <si>
    <t>轮轴-从动</t>
    <phoneticPr fontId="1" type="noConversion"/>
  </si>
  <si>
    <t>轮轴-中心</t>
    <phoneticPr fontId="1" type="noConversion"/>
  </si>
  <si>
    <t>送线轮毂-主动</t>
    <phoneticPr fontId="1" type="noConversion"/>
  </si>
  <si>
    <t>隔套-厚1</t>
    <phoneticPr fontId="1" type="noConversion"/>
  </si>
  <si>
    <t>隔套-厚3.5</t>
    <phoneticPr fontId="1" type="noConversion"/>
  </si>
  <si>
    <t>轴套</t>
    <phoneticPr fontId="1" type="noConversion"/>
  </si>
  <si>
    <t>黄铜</t>
    <phoneticPr fontId="1" type="noConversion"/>
  </si>
  <si>
    <t>剪刀夹-弯臂</t>
    <phoneticPr fontId="1" type="noConversion"/>
  </si>
  <si>
    <t>剪刀夹-直臂</t>
    <phoneticPr fontId="1" type="noConversion"/>
  </si>
  <si>
    <t>导管座板</t>
    <phoneticPr fontId="1" type="noConversion"/>
  </si>
  <si>
    <t>SK3-SL-01</t>
  </si>
  <si>
    <t>SK3-WL-16-A</t>
  </si>
  <si>
    <t>SK3-WL-16-B</t>
  </si>
  <si>
    <t>SK3-WL-16-C</t>
  </si>
  <si>
    <t>SK3-WL-17</t>
  </si>
  <si>
    <t>SK3-WL-18-H1</t>
  </si>
  <si>
    <t>SK3-WL-18-H3.5</t>
  </si>
  <si>
    <t>SK3-WL-19</t>
  </si>
  <si>
    <t>SK3-WL-20</t>
  </si>
  <si>
    <t>SK3-WL-21</t>
  </si>
  <si>
    <t>SK3-WL-22-W</t>
  </si>
  <si>
    <t>SK3-WL-22-Z</t>
  </si>
  <si>
    <t>此行为表头行</t>
    <phoneticPr fontId="1" type="noConversion"/>
  </si>
  <si>
    <t>目的表头行→</t>
    <phoneticPr fontId="1" type="noConversion"/>
  </si>
  <si>
    <t>粘贴数量列？→</t>
    <phoneticPr fontId="1" type="noConversion"/>
  </si>
  <si>
    <t>是</t>
  </si>
  <si>
    <t>铣</t>
  </si>
  <si>
    <t>导管座板</t>
  </si>
  <si>
    <t>SK3-WL.X</t>
  </si>
  <si>
    <t>SK3-WL-04-07-X</t>
  </si>
  <si>
    <t>送线轮部件</t>
  </si>
  <si>
    <t>圆柱齿轮</t>
  </si>
  <si>
    <t>Q235-A</t>
  </si>
  <si>
    <t>数量/单台</t>
    <phoneticPr fontId="1" type="noConversion"/>
  </si>
  <si>
    <t>“图样代号”</t>
    <phoneticPr fontId="1" type="noConversion"/>
  </si>
  <si>
    <t>“图样代号”</t>
    <phoneticPr fontId="1" type="noConversion"/>
  </si>
  <si>
    <t>SK1-SL-09</t>
    <phoneticPr fontId="1" type="noConversion"/>
  </si>
  <si>
    <t>SK3L-04-00-011</t>
    <phoneticPr fontId="1" type="noConversion"/>
  </si>
  <si>
    <t>SK3-SL-01</t>
    <phoneticPr fontId="1" type="noConversion"/>
  </si>
  <si>
    <t>“图样名称”</t>
    <phoneticPr fontId="1" type="noConversion"/>
  </si>
  <si>
    <t>步进电机</t>
    <phoneticPr fontId="1" type="noConversion"/>
  </si>
  <si>
    <t>送线轮组装</t>
    <phoneticPr fontId="1" type="noConversion"/>
  </si>
  <si>
    <t>挡环</t>
    <phoneticPr fontId="1" type="noConversion"/>
  </si>
  <si>
    <t>马达座板</t>
    <phoneticPr fontId="1" type="noConversion"/>
  </si>
  <si>
    <t>轮轴-主动</t>
  </si>
  <si>
    <t>轮轴-从动</t>
  </si>
  <si>
    <t>轮轴-中心</t>
  </si>
  <si>
    <t>送线轮毂-主动</t>
  </si>
  <si>
    <t>采购件</t>
  </si>
  <si>
    <t xml:space="preserve">   </t>
    <phoneticPr fontId="1" type="noConversion"/>
  </si>
  <si>
    <t xml:space="preserve"> </t>
    <phoneticPr fontId="1" type="noConversion"/>
  </si>
  <si>
    <t>序号</t>
    <phoneticPr fontId="1" type="noConversion"/>
  </si>
  <si>
    <t>部件名称</t>
    <phoneticPr fontId="1" type="noConversion"/>
  </si>
  <si>
    <t>图号或型号</t>
    <phoneticPr fontId="1" type="noConversion"/>
  </si>
  <si>
    <t>名称</t>
    <phoneticPr fontId="1" type="noConversion"/>
  </si>
  <si>
    <t>规格</t>
    <phoneticPr fontId="1" type="noConversion"/>
  </si>
  <si>
    <t>品牌</t>
    <phoneticPr fontId="1" type="noConversion"/>
  </si>
  <si>
    <t>供应商</t>
    <phoneticPr fontId="1" type="noConversion"/>
  </si>
  <si>
    <t>备注</t>
    <phoneticPr fontId="1" type="noConversion"/>
  </si>
  <si>
    <t>单价（不含税、含运费）</t>
    <phoneticPr fontId="1" type="noConversion"/>
  </si>
  <si>
    <t>→</t>
  </si>
  <si>
    <t>淘宝链接</t>
    <phoneticPr fontId="1" type="noConversion"/>
  </si>
  <si>
    <t>淘宝店家颜色分类</t>
    <phoneticPr fontId="1" type="noConversion"/>
  </si>
  <si>
    <t>挂线机构</t>
    <phoneticPr fontId="1" type="noConversion"/>
  </si>
  <si>
    <t>挂线机构</t>
    <phoneticPr fontId="1" type="noConversion"/>
  </si>
  <si>
    <t>RB1006</t>
    <phoneticPr fontId="1" type="noConversion"/>
  </si>
  <si>
    <t>缓冲器</t>
    <phoneticPr fontId="1" type="noConversion"/>
  </si>
  <si>
    <t>普通</t>
    <phoneticPr fontId="1" type="noConversion"/>
  </si>
  <si>
    <t>普通</t>
    <phoneticPr fontId="1" type="noConversion"/>
  </si>
  <si>
    <t>与smc型号对应</t>
    <phoneticPr fontId="1" type="noConversion"/>
  </si>
  <si>
    <t>与smc型号对应</t>
    <phoneticPr fontId="1" type="noConversion"/>
  </si>
  <si>
    <t>https://detail.tmall.com/item.htm?spm=a1z10.3-b-s.w4011-18752334520.36.26915cf3ekqybt&amp;id=544078930654&amp;rn=1d2e19b2a8bf47d201e948c615615c52&amp;abbucket=10&amp;skuId=3276546988752</t>
    <phoneticPr fontId="1" type="noConversion"/>
  </si>
  <si>
    <t>不带缓冲帽RB-1006</t>
    <phoneticPr fontId="1" type="noConversion"/>
  </si>
  <si>
    <t>JA20-8-125</t>
    <phoneticPr fontId="1" type="noConversion"/>
  </si>
  <si>
    <t>浮动接头</t>
    <phoneticPr fontId="1" type="noConversion"/>
  </si>
  <si>
    <t>https://item.taobao.com/item.htm?spm=a230r.1.14.15.6e532395dS4UXw&amp;id=551663151637&amp;ns=1&amp;abbucket=12#detail</t>
    <phoneticPr fontId="1" type="noConversion"/>
  </si>
  <si>
    <t>JA20-8-125 原装正品</t>
    <phoneticPr fontId="1" type="noConversion"/>
  </si>
  <si>
    <t>CDU25-40D-A90V</t>
    <phoneticPr fontId="1" type="noConversion"/>
  </si>
  <si>
    <t>气缸</t>
    <phoneticPr fontId="1" type="noConversion"/>
  </si>
  <si>
    <t>https://detail.tmall.com/item.htm?spm=a1z10.3-b-s.w4011-18752334520.52.6e9c5cf3762OfE&amp;id=543779113839&amp;rn=c9344d86f06760bac71f52de1eb3c85c&amp;abbucket=10&amp;skuId=3437599462499</t>
  </si>
  <si>
    <t>CDU25-40D带磁</t>
    <phoneticPr fontId="1" type="noConversion"/>
  </si>
  <si>
    <t>D-A90V</t>
  </si>
  <si>
    <t>配套磁性开关</t>
    <phoneticPr fontId="1" type="noConversion"/>
  </si>
  <si>
    <t>https://item.taobao.com/item.htm?spm=a230r.1.14.37.3c486f81x7keq4&amp;id=538286863838&amp;ns=1&amp;abbucket=12#detail</t>
    <phoneticPr fontId="1" type="noConversion"/>
  </si>
  <si>
    <t>D-A90V</t>
    <phoneticPr fontId="1" type="noConversion"/>
  </si>
  <si>
    <t>CXSM15-40</t>
    <phoneticPr fontId="1" type="noConversion"/>
  </si>
  <si>
    <t>smc</t>
    <phoneticPr fontId="1" type="noConversion"/>
  </si>
  <si>
    <t>https://detail.tmall.com/item.htm?spm=a1z10.3-b-s.w4011-18752334520.39.1ddb5cf3Jt8mgy&amp;id=543519650368&amp;rn=3842e6dfa21cbb91551855ddfaf1d61b&amp;abbucket=10&amp;skuId=3435050371790</t>
  </si>
  <si>
    <t>HFK20-CL</t>
    <phoneticPr fontId="1" type="noConversion"/>
  </si>
  <si>
    <t>https://item.taobao.com/item.htm?id=574054814902&amp;spm=2014.21600712.0.0</t>
  </si>
  <si>
    <t>HFK20</t>
    <phoneticPr fontId="1" type="noConversion"/>
  </si>
  <si>
    <t>MHZ2-16D-M9NL</t>
  </si>
  <si>
    <t>气爪</t>
    <phoneticPr fontId="1" type="noConversion"/>
  </si>
  <si>
    <t>https://item.taobao.com/item.htm?spm=a230r.1.14.16.78349be7eDpDb5&amp;id=569263660436&amp;ns=1&amp;abbucket=12#detail</t>
  </si>
  <si>
    <t>MHZ2-16D-M9NL</t>
    <phoneticPr fontId="1" type="noConversion"/>
  </si>
  <si>
    <t>切线机构</t>
  </si>
  <si>
    <t>外径25</t>
    <phoneticPr fontId="1" type="noConversion"/>
  </si>
  <si>
    <t>气动切线剪刀</t>
    <phoneticPr fontId="1" type="noConversion"/>
  </si>
  <si>
    <t>主体</t>
    <phoneticPr fontId="1" type="noConversion"/>
  </si>
  <si>
    <t>https://item.taobao.com/item.htm?spm=a230r.1.14.45.743151b2GzP2cp&amp;id=554811149662&amp;ns=1&amp;abbucket=12#detail</t>
  </si>
  <si>
    <t>MR-3A主体（不含刀头）</t>
    <phoneticPr fontId="1" type="noConversion"/>
  </si>
  <si>
    <t>刀头</t>
    <phoneticPr fontId="1" type="noConversion"/>
  </si>
  <si>
    <t>S20刀头（剪铜铁）</t>
    <phoneticPr fontId="1" type="noConversion"/>
  </si>
  <si>
    <t>Z轴总成</t>
    <phoneticPr fontId="1" type="noConversion"/>
  </si>
  <si>
    <t>EE-SX674A</t>
  </si>
  <si>
    <t>光电感应器</t>
    <phoneticPr fontId="1" type="noConversion"/>
  </si>
  <si>
    <t>与欧姆龙型号对应</t>
    <phoneticPr fontId="1" type="noConversion"/>
  </si>
  <si>
    <t>https://detail.tmall.com/item.htm?id=574007945077&amp;ali_refid=a3_430583_1006:1109514759:N:ee-sx670:02f5a4d78be9474f9862f676ff52f692&amp;ali_trackid=1_02f5a4d78be9474f9862f676ff52f692&amp;spm=a230r.1.14.1</t>
  </si>
  <si>
    <t>EE-SX672</t>
  </si>
  <si>
    <t>光电感应器</t>
  </si>
  <si>
    <t>LK5-C44-0814</t>
  </si>
  <si>
    <t>膜片联轴器</t>
    <phoneticPr fontId="1" type="noConversion"/>
  </si>
  <si>
    <t>L=35</t>
    <phoneticPr fontId="1" type="noConversion"/>
  </si>
  <si>
    <t>与菱科型号对应</t>
    <phoneticPr fontId="1" type="noConversion"/>
  </si>
  <si>
    <t>https://item.taobao.com/item.htm?spm=2013.1.20141003.2.1e8e6f39RJ2ZJE&amp;scm=1007.10011.70203.100200300000001&amp;id=532787225569&amp;pvid=8dae95ee-8e96-4987-84c9-2d8cbe69b18c</t>
  </si>
  <si>
    <t>外径44长35孔径8至22范围</t>
    <phoneticPr fontId="1" type="noConversion"/>
  </si>
  <si>
    <t>M10*1（外径18*直径15*8）</t>
    <phoneticPr fontId="10" type="noConversion"/>
  </si>
  <si>
    <t>R型丝杆锁紧螺母</t>
    <phoneticPr fontId="1" type="noConversion"/>
  </si>
  <si>
    <t>M10X1.0</t>
  </si>
  <si>
    <t>https://detail.tmall.com/item.htm?id=569083729477&amp;ali_refid=a3_430583_1006:1102827784:N:%E9%94%81%E7%B4%A7%E8%9E%BA%E6%AF%8D:a37746539f30dec26c3221290002e925&amp;ali_trackid=1_a37746539f30dec26c3221290002e925&amp;spm=a230r.1.14.1&amp;skuId=3647504772757</t>
    <phoneticPr fontId="1" type="noConversion"/>
  </si>
  <si>
    <t>R-M10*1.0P</t>
    <phoneticPr fontId="1" type="noConversion"/>
  </si>
  <si>
    <t>主轴总成</t>
    <phoneticPr fontId="1" type="noConversion"/>
  </si>
  <si>
    <t>6001ZZ</t>
    <phoneticPr fontId="1" type="noConversion"/>
  </si>
  <si>
    <t>内径12外径28厚度7.5</t>
    <phoneticPr fontId="1" type="noConversion"/>
  </si>
  <si>
    <t>https://detail.tmall.com/item.htm?spm=a230r.1.14.13.42227614FSv08j&amp;id=570215260115&amp;cm_id=140105335569ed55e27b&amp;abbucket=12</t>
  </si>
  <si>
    <t>RN12</t>
  </si>
  <si>
    <t>锁固螺帽</t>
  </si>
  <si>
    <t>https://item.taobao.com/item.htm?spm=a230r.1.14.28.779553eehFjz5W&amp;id=39162373349&amp;ns=1&amp;abbucket=12#detail</t>
  </si>
  <si>
    <t>M12*1.0内带铜垫单顶丝</t>
    <phoneticPr fontId="1" type="noConversion"/>
  </si>
  <si>
    <t>H18 W37 R55</t>
    <phoneticPr fontId="1" type="noConversion"/>
  </si>
  <si>
    <t>P-坦克链</t>
    <phoneticPr fontId="1" type="noConversion"/>
  </si>
  <si>
    <t xml:space="preserve"> L=800</t>
  </si>
  <si>
    <t>https://detail.tmall.com/item.htm?spm=a230r.1.14.6.630f7fac72nkRE&amp;id=45207056071&amp;cm_id=140105335569ed55e27b&amp;abbucket=12&amp;skuId=104411600451</t>
  </si>
  <si>
    <t>（内径）15x30</t>
    <phoneticPr fontId="1" type="noConversion"/>
  </si>
  <si>
    <t>H18 W37 R038</t>
  </si>
  <si>
    <t>坦克链</t>
  </si>
  <si>
    <t xml:space="preserve"> L=450</t>
  </si>
  <si>
    <t>Y轴总成</t>
    <phoneticPr fontId="1" type="noConversion"/>
  </si>
  <si>
    <t xml:space="preserve"> L=600</t>
  </si>
  <si>
    <t>U轴总成</t>
    <phoneticPr fontId="1" type="noConversion"/>
  </si>
  <si>
    <t xml:space="preserve"> L=700</t>
  </si>
  <si>
    <t>HTBN423S3M-150</t>
    <phoneticPr fontId="1" type="noConversion"/>
  </si>
  <si>
    <t>同步带</t>
    <phoneticPr fontId="1" type="noConversion"/>
  </si>
  <si>
    <t>与米思米型号对应</t>
    <phoneticPr fontId="1" type="noConversion"/>
  </si>
  <si>
    <t>https://item.taobao.com/item.htm?id=574989954247&amp;tracelogww=ltckbburl</t>
  </si>
  <si>
    <t>HTPA32S3M-A-P8</t>
  </si>
  <si>
    <t>同步轮1</t>
    <phoneticPr fontId="1" type="noConversion"/>
  </si>
  <si>
    <t>HTPA32S3M-A-P10</t>
  </si>
  <si>
    <t>同步轮2</t>
    <phoneticPr fontId="1" type="noConversion"/>
  </si>
  <si>
    <t>总计</t>
    <phoneticPr fontId="1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</si>
</sst>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9"/>
      <name val="新細明體"/>
      <family val="1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4" fillId="2" borderId="0" xfId="0" applyFont="1" applyFill="1">
      <alignment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2" fillId="2" borderId="1" xfId="0" applyFont="1" applyFill="1" applyBorder="1" applyAlignment="1">
      <alignment horizontal="left" vertical="center" shrinkToFit="1"/>
    </xf>
    <xf numFmtId="0" fontId="0" fillId="0" borderId="0" xfId="0" applyAlignment="1">
      <alignment horizontal="left" vertical="center" shrinkToFit="1"/>
    </xf>
    <xf numFmtId="0" fontId="7" fillId="2" borderId="0" xfId="0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shrinkToFit="1"/>
    </xf>
    <xf numFmtId="0" fontId="6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 shrinkToFit="1"/>
    </xf>
    <xf numFmtId="0" fontId="2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/>
    </xf>
    <xf numFmtId="0" fontId="9" fillId="0" borderId="0" xfId="1" applyFont="1" applyAlignment="1">
      <alignment horizontal="right"/>
    </xf>
    <xf numFmtId="0" fontId="4" fillId="3" borderId="0" xfId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 shrinkToFit="1"/>
    </xf>
    <xf numFmtId="0" fontId="9" fillId="0" borderId="0" xfId="1" applyFont="1" applyFill="1" applyAlignment="1">
      <alignment horizontal="right"/>
    </xf>
    <xf numFmtId="0" fontId="3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left" vertical="center" shrinkToFit="1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31"/>
  <sheetViews>
    <sheetView tabSelected="1" zoomScale="145" zoomScaleNormal="145" workbookViewId="0">
      <pane ySplit="1" topLeftCell="A2" activePane="bottomLeft" state="frozen"/>
      <selection pane="bottomLeft" activeCell="H17" sqref="H17"/>
    </sheetView>
  </sheetViews>
  <sheetFormatPr defaultRowHeight="13.5"/>
  <cols>
    <col min="1" max="1" width="4.25" customWidth="1"/>
    <col min="2" max="2" width="12.125" customWidth="1"/>
    <col min="3" max="3" width="5.75" customWidth="1"/>
    <col min="4" max="4" width="18.875" style="11" customWidth="1"/>
    <col min="5" max="5" width="14.25" customWidth="1"/>
    <col min="6" max="6" width="8.5" bestFit="1" customWidth="1"/>
    <col min="7" max="7" width="9.25" customWidth="1"/>
    <col min="8" max="8" width="8" customWidth="1"/>
    <col min="9" max="9" width="12" bestFit="1" customWidth="1"/>
    <col min="10" max="10" width="6.5" customWidth="1"/>
    <col min="11" max="11" width="4.125" customWidth="1"/>
    <col min="13" max="14" width="13" bestFit="1" customWidth="1"/>
    <col min="15" max="15" width="2.5" bestFit="1" customWidth="1"/>
    <col min="16" max="16" width="15.125" bestFit="1" customWidth="1"/>
    <col min="17" max="17" width="3.375" bestFit="1" customWidth="1"/>
  </cols>
  <sheetData>
    <row r="1" spans="1:17" s="5" customFormat="1" ht="32.25" customHeight="1">
      <c r="A1" s="6" t="s">
        <v>0</v>
      </c>
      <c r="B1" s="4" t="s">
        <v>1</v>
      </c>
      <c r="C1" s="6" t="s">
        <v>2</v>
      </c>
      <c r="D1" s="7" t="s">
        <v>3</v>
      </c>
      <c r="E1" s="4" t="s">
        <v>4</v>
      </c>
      <c r="F1" s="4" t="s">
        <v>5</v>
      </c>
      <c r="G1" s="4" t="s">
        <v>51</v>
      </c>
      <c r="H1" s="4" t="s">
        <v>6</v>
      </c>
      <c r="I1" s="4" t="s">
        <v>9</v>
      </c>
      <c r="J1" s="4" t="s">
        <v>7</v>
      </c>
      <c r="K1" s="4" t="s">
        <v>8</v>
      </c>
      <c r="M1" s="12" t="s">
        <v>40</v>
      </c>
      <c r="N1" s="12" t="s">
        <v>41</v>
      </c>
      <c r="O1" s="3">
        <v>2</v>
      </c>
      <c r="P1" s="12" t="s">
        <v>42</v>
      </c>
      <c r="Q1" s="3" t="s">
        <v>43</v>
      </c>
    </row>
    <row r="2" spans="1:17" s="2" customFormat="1">
      <c r="A2" s="1">
        <v>1</v>
      </c>
      <c r="B2" s="1"/>
      <c r="C2" s="1" t="s">
        <v>12</v>
      </c>
      <c r="D2" s="10" t="s">
        <v>28</v>
      </c>
      <c r="E2" s="1" t="s">
        <v>16</v>
      </c>
      <c r="F2" s="1">
        <v>45</v>
      </c>
      <c r="G2" s="1">
        <v>1</v>
      </c>
      <c r="H2" s="1"/>
      <c r="I2" s="1"/>
      <c r="J2" s="1"/>
      <c r="K2" s="1"/>
    </row>
    <row r="3" spans="1:17" s="2" customFormat="1">
      <c r="A3" s="1">
        <v>2</v>
      </c>
      <c r="B3" s="1"/>
      <c r="C3" s="1" t="s">
        <v>11</v>
      </c>
      <c r="D3" s="10" t="s">
        <v>29</v>
      </c>
      <c r="E3" s="1" t="s">
        <v>17</v>
      </c>
      <c r="F3" s="1">
        <v>45</v>
      </c>
      <c r="G3" s="1">
        <v>1</v>
      </c>
      <c r="H3" s="1"/>
      <c r="I3" s="1"/>
      <c r="J3" s="1"/>
      <c r="K3" s="1"/>
    </row>
    <row r="4" spans="1:17" s="2" customFormat="1">
      <c r="A4" s="1">
        <v>3</v>
      </c>
      <c r="B4" s="1"/>
      <c r="C4" s="1" t="s">
        <v>11</v>
      </c>
      <c r="D4" s="10" t="s">
        <v>30</v>
      </c>
      <c r="E4" s="1" t="s">
        <v>18</v>
      </c>
      <c r="F4" s="1">
        <v>45</v>
      </c>
      <c r="G4" s="1">
        <v>1</v>
      </c>
      <c r="H4" s="1"/>
      <c r="I4" s="1"/>
      <c r="J4" s="1"/>
      <c r="K4" s="1"/>
    </row>
    <row r="5" spans="1:17" s="2" customFormat="1">
      <c r="A5" s="1">
        <v>4</v>
      </c>
      <c r="B5" s="1"/>
      <c r="C5" s="1" t="s">
        <v>11</v>
      </c>
      <c r="D5" s="10" t="s">
        <v>31</v>
      </c>
      <c r="E5" s="1" t="s">
        <v>19</v>
      </c>
      <c r="F5" s="1">
        <v>45</v>
      </c>
      <c r="G5" s="1">
        <v>1</v>
      </c>
      <c r="H5" s="1"/>
      <c r="I5" s="1"/>
      <c r="J5" s="1"/>
      <c r="K5" s="1"/>
    </row>
    <row r="6" spans="1:17" s="2" customFormat="1">
      <c r="A6" s="1">
        <v>5</v>
      </c>
      <c r="B6" s="1"/>
      <c r="C6" s="1" t="s">
        <v>11</v>
      </c>
      <c r="D6" s="10" t="s">
        <v>32</v>
      </c>
      <c r="E6" s="1" t="s">
        <v>20</v>
      </c>
      <c r="F6" s="1">
        <v>45</v>
      </c>
      <c r="G6" s="1">
        <v>1</v>
      </c>
      <c r="H6" s="1"/>
      <c r="I6" s="1"/>
      <c r="J6" s="1"/>
      <c r="K6" s="1"/>
    </row>
    <row r="7" spans="1:17" s="2" customFormat="1">
      <c r="A7" s="1">
        <v>6</v>
      </c>
      <c r="B7" s="1"/>
      <c r="C7" s="1" t="s">
        <v>12</v>
      </c>
      <c r="D7" s="10" t="s">
        <v>33</v>
      </c>
      <c r="E7" s="1" t="s">
        <v>21</v>
      </c>
      <c r="F7" s="1">
        <v>304</v>
      </c>
      <c r="G7" s="1">
        <v>1</v>
      </c>
      <c r="H7" s="1"/>
      <c r="I7" s="1"/>
      <c r="J7" s="1"/>
      <c r="K7" s="1"/>
    </row>
    <row r="8" spans="1:17" s="2" customFormat="1">
      <c r="A8" s="1">
        <v>7</v>
      </c>
      <c r="B8" s="1"/>
      <c r="C8" s="1" t="s">
        <v>12</v>
      </c>
      <c r="D8" s="10" t="s">
        <v>34</v>
      </c>
      <c r="E8" s="1" t="s">
        <v>22</v>
      </c>
      <c r="F8" s="1">
        <v>304</v>
      </c>
      <c r="G8" s="1">
        <v>1</v>
      </c>
      <c r="H8" s="1"/>
      <c r="I8" s="1"/>
      <c r="J8" s="1"/>
      <c r="K8" s="1"/>
    </row>
    <row r="9" spans="1:17" s="2" customFormat="1">
      <c r="A9" s="1">
        <v>8</v>
      </c>
      <c r="B9" s="1"/>
      <c r="C9" s="1" t="s">
        <v>11</v>
      </c>
      <c r="D9" s="10" t="s">
        <v>35</v>
      </c>
      <c r="E9" s="1" t="s">
        <v>23</v>
      </c>
      <c r="F9" s="1" t="s">
        <v>24</v>
      </c>
      <c r="G9" s="1">
        <v>1</v>
      </c>
      <c r="H9" s="1"/>
      <c r="I9" s="1"/>
      <c r="J9" s="1"/>
      <c r="K9" s="1"/>
    </row>
    <row r="10" spans="1:17" s="2" customFormat="1">
      <c r="A10" s="1">
        <v>9</v>
      </c>
      <c r="B10" s="1"/>
      <c r="C10" s="1" t="s">
        <v>12</v>
      </c>
      <c r="D10" s="10" t="s">
        <v>36</v>
      </c>
      <c r="E10" s="1" t="s">
        <v>10</v>
      </c>
      <c r="F10" s="1">
        <v>45</v>
      </c>
      <c r="G10" s="1">
        <v>1</v>
      </c>
      <c r="H10" s="1"/>
      <c r="I10" s="1"/>
      <c r="J10" s="1"/>
      <c r="K10" s="1"/>
    </row>
    <row r="11" spans="1:17" s="2" customFormat="1">
      <c r="A11" s="1">
        <v>10</v>
      </c>
      <c r="B11" s="1"/>
      <c r="C11" s="1" t="s">
        <v>12</v>
      </c>
      <c r="D11" s="10" t="s">
        <v>37</v>
      </c>
      <c r="E11" s="1" t="s">
        <v>27</v>
      </c>
      <c r="F11" s="1">
        <v>45</v>
      </c>
      <c r="G11" s="1">
        <v>1</v>
      </c>
      <c r="H11" s="1"/>
      <c r="I11" s="1"/>
      <c r="J11" s="1"/>
      <c r="K11" s="1"/>
    </row>
    <row r="12" spans="1:17" s="2" customFormat="1">
      <c r="A12" s="1">
        <v>11</v>
      </c>
      <c r="B12" s="1"/>
      <c r="C12" s="1" t="s">
        <v>12</v>
      </c>
      <c r="D12" s="10" t="s">
        <v>38</v>
      </c>
      <c r="E12" s="1" t="s">
        <v>25</v>
      </c>
      <c r="F12" s="1">
        <v>304</v>
      </c>
      <c r="G12" s="1">
        <v>1</v>
      </c>
      <c r="H12" s="1"/>
      <c r="I12" s="1"/>
      <c r="J12" s="1"/>
      <c r="K12" s="1"/>
    </row>
    <row r="13" spans="1:17" s="2" customFormat="1">
      <c r="A13" s="1">
        <v>12</v>
      </c>
      <c r="B13" s="1"/>
      <c r="C13" s="1" t="s">
        <v>12</v>
      </c>
      <c r="D13" s="10" t="s">
        <v>39</v>
      </c>
      <c r="E13" s="1" t="s">
        <v>26</v>
      </c>
      <c r="F13" s="1">
        <v>304</v>
      </c>
      <c r="G13" s="1">
        <v>1</v>
      </c>
      <c r="H13" s="1"/>
      <c r="I13" s="1"/>
      <c r="J13" s="1"/>
      <c r="K13" s="1"/>
    </row>
    <row r="14" spans="1:17" s="2" customFormat="1">
      <c r="A14" s="1"/>
      <c r="B14" s="1"/>
      <c r="C14" s="1"/>
      <c r="D14" s="10"/>
      <c r="E14" s="1"/>
      <c r="F14" s="1"/>
      <c r="G14" s="1"/>
      <c r="H14" s="1"/>
      <c r="I14" s="1"/>
      <c r="J14" s="1"/>
      <c r="K14" s="1"/>
    </row>
    <row r="15" spans="1:17" s="2" customFormat="1">
      <c r="A15" s="1"/>
      <c r="B15" s="1"/>
      <c r="C15" s="1" t="s">
        <v>44</v>
      </c>
      <c r="D15" s="10" t="s">
        <v>37</v>
      </c>
      <c r="E15" s="1" t="s">
        <v>45</v>
      </c>
      <c r="F15" s="1">
        <v>45</v>
      </c>
      <c r="G15" s="1">
        <v>1</v>
      </c>
      <c r="H15" s="1"/>
      <c r="I15" s="1"/>
      <c r="J15" s="1"/>
      <c r="K15" s="1"/>
    </row>
    <row r="18" spans="4:11">
      <c r="D18" s="11" t="s">
        <v>52</v>
      </c>
      <c r="E18" t="s">
        <v>57</v>
      </c>
      <c r="G18">
        <v>3</v>
      </c>
      <c r="K18" t="s">
        <v>67</v>
      </c>
    </row>
    <row r="19" spans="4:11">
      <c r="D19" s="11" t="s">
        <v>53</v>
      </c>
      <c r="E19" t="s">
        <v>58</v>
      </c>
      <c r="F19" t="s">
        <v>66</v>
      </c>
      <c r="G19">
        <v>1</v>
      </c>
      <c r="K19" t="s">
        <v>68</v>
      </c>
    </row>
    <row r="20" spans="4:11">
      <c r="D20" s="11" t="s">
        <v>54</v>
      </c>
      <c r="E20" t="s">
        <v>59</v>
      </c>
      <c r="G20">
        <v>1</v>
      </c>
      <c r="K20" t="s">
        <v>67</v>
      </c>
    </row>
    <row r="21" spans="4:11">
      <c r="D21" s="11" t="s">
        <v>55</v>
      </c>
      <c r="E21" t="s">
        <v>60</v>
      </c>
      <c r="F21">
        <v>45</v>
      </c>
      <c r="G21">
        <v>1</v>
      </c>
      <c r="K21" t="s">
        <v>68</v>
      </c>
    </row>
    <row r="22" spans="4:11">
      <c r="D22" s="11" t="s">
        <v>56</v>
      </c>
      <c r="E22" t="s">
        <v>61</v>
      </c>
      <c r="F22">
        <v>45</v>
      </c>
      <c r="G22">
        <v>1</v>
      </c>
      <c r="K22" t="s">
        <v>13</v>
      </c>
    </row>
    <row r="23" spans="4:11">
      <c r="D23" s="11" t="s">
        <v>46</v>
      </c>
      <c r="E23" t="s">
        <v>48</v>
      </c>
      <c r="G23">
        <v>1</v>
      </c>
      <c r="K23" t="s">
        <v>15</v>
      </c>
    </row>
    <row r="24" spans="4:11">
      <c r="D24" s="11" t="s">
        <v>46</v>
      </c>
      <c r="E24" t="s">
        <v>48</v>
      </c>
      <c r="G24">
        <v>1</v>
      </c>
      <c r="K24" t="s">
        <v>15</v>
      </c>
    </row>
    <row r="25" spans="4:11">
      <c r="D25" s="11" t="s">
        <v>46</v>
      </c>
      <c r="E25" t="s">
        <v>48</v>
      </c>
      <c r="G25">
        <v>1</v>
      </c>
      <c r="K25" t="s">
        <v>15</v>
      </c>
    </row>
    <row r="26" spans="4:11">
      <c r="D26" s="11" t="s">
        <v>47</v>
      </c>
      <c r="E26" t="s">
        <v>49</v>
      </c>
      <c r="F26" t="s">
        <v>50</v>
      </c>
      <c r="G26">
        <v>1</v>
      </c>
    </row>
    <row r="27" spans="4:11">
      <c r="D27" s="11" t="s">
        <v>47</v>
      </c>
      <c r="E27" t="s">
        <v>49</v>
      </c>
      <c r="F27" t="s">
        <v>50</v>
      </c>
      <c r="G27">
        <v>1</v>
      </c>
    </row>
    <row r="28" spans="4:11">
      <c r="D28" s="11" t="s">
        <v>29</v>
      </c>
      <c r="E28" t="s">
        <v>62</v>
      </c>
      <c r="F28">
        <v>45</v>
      </c>
      <c r="G28">
        <v>1</v>
      </c>
    </row>
    <row r="29" spans="4:11">
      <c r="D29" s="11" t="s">
        <v>30</v>
      </c>
      <c r="E29" t="s">
        <v>63</v>
      </c>
      <c r="F29">
        <v>45</v>
      </c>
      <c r="G29">
        <v>1</v>
      </c>
    </row>
    <row r="30" spans="4:11">
      <c r="D30" s="11" t="s">
        <v>31</v>
      </c>
      <c r="E30" t="s">
        <v>64</v>
      </c>
      <c r="F30">
        <v>45</v>
      </c>
      <c r="G30">
        <v>1</v>
      </c>
    </row>
    <row r="31" spans="4:11">
      <c r="D31" s="11" t="s">
        <v>32</v>
      </c>
      <c r="E31" t="s">
        <v>65</v>
      </c>
      <c r="F31">
        <v>45</v>
      </c>
      <c r="G31">
        <v>1</v>
      </c>
      <c r="K31" t="s">
        <v>13</v>
      </c>
    </row>
  </sheetData>
  <phoneticPr fontId="1" type="noConversion"/>
  <dataValidations disablePrompts="1" count="1">
    <dataValidation type="list" allowBlank="1" showInputMessage="1" showErrorMessage="1" sqref="Q1">
      <formula1>"是,否"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26"/>
  <sheetViews>
    <sheetView zoomScale="145" zoomScaleNormal="145" workbookViewId="0">
      <pane ySplit="1" topLeftCell="A2" activePane="bottomLeft" state="frozen"/>
      <selection pane="bottomLeft" activeCell="G12" sqref="G12"/>
    </sheetView>
  </sheetViews>
  <sheetFormatPr defaultRowHeight="13.5"/>
  <cols>
    <col min="1" max="1" width="4.875" style="16" customWidth="1"/>
    <col min="2" max="2" width="11.625" style="13" hidden="1" customWidth="1"/>
    <col min="3" max="3" width="24.375" style="32" customWidth="1"/>
    <col min="4" max="4" width="14.25" style="15" customWidth="1"/>
    <col min="5" max="5" width="17" style="15" customWidth="1"/>
    <col min="6" max="6" width="5.75" style="15" bestFit="1" customWidth="1"/>
    <col min="7" max="7" width="7.875" style="15" customWidth="1"/>
    <col min="8" max="8" width="15.625" style="13" bestFit="1" customWidth="1"/>
    <col min="9" max="9" width="13.25" style="13" customWidth="1"/>
    <col min="10" max="10" width="3.375" style="14" bestFit="1" customWidth="1"/>
    <col min="11" max="11" width="9" style="15"/>
    <col min="12" max="12" width="25" style="16" bestFit="1" customWidth="1"/>
    <col min="13" max="13" width="12" style="9" bestFit="1" customWidth="1"/>
    <col min="14" max="14" width="8.875" customWidth="1"/>
  </cols>
  <sheetData>
    <row r="1" spans="1:20" s="2" customFormat="1" ht="27">
      <c r="A1" s="17" t="s">
        <v>69</v>
      </c>
      <c r="B1" s="18" t="s">
        <v>70</v>
      </c>
      <c r="C1" s="19" t="s">
        <v>71</v>
      </c>
      <c r="D1" s="19" t="s">
        <v>72</v>
      </c>
      <c r="E1" s="19" t="s">
        <v>73</v>
      </c>
      <c r="F1" s="19" t="s">
        <v>74</v>
      </c>
      <c r="G1" s="19" t="s">
        <v>75</v>
      </c>
      <c r="H1" s="18" t="s">
        <v>76</v>
      </c>
      <c r="I1" s="17" t="s">
        <v>77</v>
      </c>
      <c r="J1" s="20" t="s">
        <v>78</v>
      </c>
      <c r="K1" s="19" t="s">
        <v>79</v>
      </c>
      <c r="L1" s="18" t="s">
        <v>80</v>
      </c>
      <c r="M1" s="8"/>
      <c r="N1" s="1"/>
      <c r="P1" s="12" t="s">
        <v>40</v>
      </c>
      <c r="Q1" s="12" t="s">
        <v>41</v>
      </c>
      <c r="R1" s="3">
        <v>2</v>
      </c>
      <c r="S1" s="12" t="s">
        <v>42</v>
      </c>
      <c r="T1" s="3" t="s">
        <v>43</v>
      </c>
    </row>
    <row r="2" spans="1:20" s="2" customFormat="1">
      <c r="A2" s="21">
        <v>5</v>
      </c>
      <c r="B2" s="22" t="s">
        <v>82</v>
      </c>
      <c r="C2" s="23" t="s">
        <v>83</v>
      </c>
      <c r="D2" s="24" t="s">
        <v>84</v>
      </c>
      <c r="E2" s="24"/>
      <c r="F2" s="24" t="s">
        <v>86</v>
      </c>
      <c r="G2" s="24"/>
      <c r="H2" s="22" t="s">
        <v>88</v>
      </c>
      <c r="I2" s="25">
        <v>28.05</v>
      </c>
      <c r="J2" s="26" t="str">
        <f>HYPERLINK(K2,"→")</f>
        <v>→</v>
      </c>
      <c r="K2" s="27" t="s">
        <v>89</v>
      </c>
      <c r="L2" s="28" t="s">
        <v>90</v>
      </c>
      <c r="M2" s="8"/>
      <c r="N2" s="1"/>
    </row>
    <row r="3" spans="1:20" s="2" customFormat="1">
      <c r="A3" s="21">
        <v>2</v>
      </c>
      <c r="B3" s="22" t="s">
        <v>81</v>
      </c>
      <c r="C3" s="23" t="s">
        <v>91</v>
      </c>
      <c r="D3" s="24" t="s">
        <v>92</v>
      </c>
      <c r="E3" s="24"/>
      <c r="F3" s="24" t="s">
        <v>85</v>
      </c>
      <c r="G3" s="24" t="s">
        <v>13</v>
      </c>
      <c r="H3" s="22" t="s">
        <v>87</v>
      </c>
      <c r="I3" s="13">
        <v>22</v>
      </c>
      <c r="J3" s="26" t="str">
        <f>HYPERLINK(K3,"→")</f>
        <v>→</v>
      </c>
      <c r="K3" s="29" t="s">
        <v>93</v>
      </c>
      <c r="L3" s="16" t="s">
        <v>94</v>
      </c>
      <c r="M3" s="8"/>
      <c r="N3" s="1"/>
    </row>
    <row r="4" spans="1:20" s="2" customFormat="1">
      <c r="A4" s="21">
        <v>8</v>
      </c>
      <c r="B4" s="22" t="s">
        <v>81</v>
      </c>
      <c r="C4" s="23" t="s">
        <v>95</v>
      </c>
      <c r="D4" s="24" t="s">
        <v>96</v>
      </c>
      <c r="E4" s="24"/>
      <c r="F4" s="24" t="s">
        <v>85</v>
      </c>
      <c r="G4" s="24"/>
      <c r="H4" s="22" t="s">
        <v>87</v>
      </c>
      <c r="I4" s="13">
        <v>51.84</v>
      </c>
      <c r="J4" s="26" t="str">
        <f>HYPERLINK(K4,"→")</f>
        <v>→</v>
      </c>
      <c r="K4" s="15" t="s">
        <v>97</v>
      </c>
      <c r="L4" s="16" t="s">
        <v>98</v>
      </c>
      <c r="M4" s="8"/>
      <c r="N4" s="1"/>
    </row>
    <row r="5" spans="1:20" s="2" customFormat="1">
      <c r="A5" s="21">
        <v>8.1</v>
      </c>
      <c r="B5" s="22" t="s">
        <v>81</v>
      </c>
      <c r="C5" s="23" t="s">
        <v>99</v>
      </c>
      <c r="D5" s="24" t="s">
        <v>100</v>
      </c>
      <c r="E5" s="24"/>
      <c r="F5" s="24"/>
      <c r="G5" s="24"/>
      <c r="H5" s="22"/>
      <c r="I5" s="13">
        <v>55</v>
      </c>
      <c r="J5" s="26" t="str">
        <f>HYPERLINK(K5,"→")</f>
        <v>→</v>
      </c>
      <c r="K5" s="15" t="s">
        <v>101</v>
      </c>
      <c r="L5" s="16" t="s">
        <v>102</v>
      </c>
      <c r="M5" s="8"/>
      <c r="N5" s="1"/>
    </row>
    <row r="6" spans="1:20" s="2" customFormat="1">
      <c r="A6" s="21">
        <v>9</v>
      </c>
      <c r="B6" s="22" t="s">
        <v>81</v>
      </c>
      <c r="C6" s="23" t="s">
        <v>103</v>
      </c>
      <c r="D6" s="24" t="s">
        <v>96</v>
      </c>
      <c r="E6" s="24"/>
      <c r="F6" s="24" t="s">
        <v>104</v>
      </c>
      <c r="G6" s="24"/>
      <c r="H6" s="22"/>
      <c r="I6" s="13"/>
      <c r="J6" s="14"/>
      <c r="K6" s="15"/>
      <c r="L6" s="16"/>
      <c r="M6" s="8"/>
      <c r="N6" s="1"/>
    </row>
    <row r="7" spans="1:20" s="2" customFormat="1">
      <c r="A7" s="21">
        <v>10</v>
      </c>
      <c r="B7" s="22" t="s">
        <v>81</v>
      </c>
      <c r="C7" s="23" t="s">
        <v>103</v>
      </c>
      <c r="D7" s="24" t="s">
        <v>96</v>
      </c>
      <c r="E7" s="24"/>
      <c r="F7" s="24" t="s">
        <v>85</v>
      </c>
      <c r="G7" s="24"/>
      <c r="H7" s="22" t="s">
        <v>87</v>
      </c>
      <c r="I7" s="13">
        <v>57.93</v>
      </c>
      <c r="J7" s="26" t="str">
        <f>HYPERLINK(K7,"→")</f>
        <v>→</v>
      </c>
      <c r="K7" s="15" t="s">
        <v>105</v>
      </c>
      <c r="L7" s="16" t="s">
        <v>103</v>
      </c>
      <c r="M7" s="8"/>
      <c r="N7" s="1"/>
    </row>
    <row r="8" spans="1:20" s="2" customFormat="1">
      <c r="A8" s="21">
        <v>10</v>
      </c>
      <c r="B8" s="22" t="s">
        <v>81</v>
      </c>
      <c r="C8" s="23" t="s">
        <v>106</v>
      </c>
      <c r="D8" s="24" t="s">
        <v>96</v>
      </c>
      <c r="E8" s="24"/>
      <c r="F8" s="24" t="s">
        <v>85</v>
      </c>
      <c r="G8" s="24"/>
      <c r="H8" s="22" t="s">
        <v>87</v>
      </c>
      <c r="I8" s="13"/>
      <c r="J8" s="26" t="str">
        <f>HYPERLINK(K8,"→")</f>
        <v>→</v>
      </c>
      <c r="K8" s="15" t="s">
        <v>107</v>
      </c>
      <c r="L8" s="16" t="s">
        <v>108</v>
      </c>
      <c r="M8" s="8"/>
      <c r="N8" s="1"/>
    </row>
    <row r="9" spans="1:20" s="2" customFormat="1">
      <c r="A9" s="21">
        <v>11</v>
      </c>
      <c r="B9" s="22" t="s">
        <v>81</v>
      </c>
      <c r="C9" s="23" t="s">
        <v>109</v>
      </c>
      <c r="D9" s="24" t="s">
        <v>110</v>
      </c>
      <c r="E9" s="24"/>
      <c r="F9" s="24" t="s">
        <v>85</v>
      </c>
      <c r="G9" s="24"/>
      <c r="H9" s="22" t="s">
        <v>87</v>
      </c>
      <c r="I9" s="13">
        <v>430</v>
      </c>
      <c r="J9" s="26" t="str">
        <f>HYPERLINK(K9,"→")</f>
        <v>→</v>
      </c>
      <c r="K9" s="15" t="s">
        <v>111</v>
      </c>
      <c r="L9" s="16" t="s">
        <v>112</v>
      </c>
      <c r="M9" s="8"/>
      <c r="N9" s="1"/>
    </row>
    <row r="10" spans="1:20" s="2" customFormat="1">
      <c r="A10" s="21">
        <v>7</v>
      </c>
      <c r="B10" s="22" t="s">
        <v>113</v>
      </c>
      <c r="C10" s="23" t="s">
        <v>114</v>
      </c>
      <c r="D10" s="24" t="s">
        <v>115</v>
      </c>
      <c r="E10" s="24"/>
      <c r="F10" s="24"/>
      <c r="G10" s="24" t="s">
        <v>15</v>
      </c>
      <c r="H10" s="22"/>
      <c r="I10" s="13"/>
      <c r="J10" s="14"/>
      <c r="K10" s="29"/>
      <c r="L10" s="16"/>
      <c r="M10" s="8"/>
      <c r="N10" s="1"/>
    </row>
    <row r="11" spans="1:20" s="3" customFormat="1">
      <c r="A11" s="21">
        <v>7.1</v>
      </c>
      <c r="B11" s="22"/>
      <c r="C11" s="23"/>
      <c r="D11" s="24" t="s">
        <v>116</v>
      </c>
      <c r="E11" s="24"/>
      <c r="F11" s="24"/>
      <c r="G11" s="24"/>
      <c r="H11" s="22"/>
      <c r="I11" s="13">
        <v>178</v>
      </c>
      <c r="J11" s="30" t="str">
        <f>HYPERLINK(K11,"→")</f>
        <v>→</v>
      </c>
      <c r="K11" s="29" t="s">
        <v>117</v>
      </c>
      <c r="L11" s="16" t="s">
        <v>118</v>
      </c>
      <c r="M11" s="8"/>
      <c r="N11" s="1"/>
    </row>
    <row r="12" spans="1:20" s="2" customFormat="1">
      <c r="A12" s="21">
        <v>7.2</v>
      </c>
      <c r="B12" s="22"/>
      <c r="C12" s="23"/>
      <c r="D12" s="24" t="s">
        <v>119</v>
      </c>
      <c r="E12" s="24"/>
      <c r="F12" s="24"/>
      <c r="G12" s="24"/>
      <c r="H12" s="22"/>
      <c r="I12" s="13">
        <v>68.75</v>
      </c>
      <c r="J12" s="14"/>
      <c r="K12" s="29"/>
      <c r="L12" s="16" t="s">
        <v>120</v>
      </c>
      <c r="M12" s="8"/>
      <c r="N12" s="1"/>
    </row>
    <row r="13" spans="1:20" s="2" customFormat="1">
      <c r="A13" s="21">
        <v>3</v>
      </c>
      <c r="B13" s="22" t="s">
        <v>121</v>
      </c>
      <c r="C13" s="23" t="s">
        <v>122</v>
      </c>
      <c r="D13" s="24" t="s">
        <v>123</v>
      </c>
      <c r="E13" s="24"/>
      <c r="F13" s="24" t="s">
        <v>85</v>
      </c>
      <c r="G13" s="24" t="s">
        <v>13</v>
      </c>
      <c r="H13" s="22" t="s">
        <v>124</v>
      </c>
      <c r="I13" s="13">
        <v>9.5</v>
      </c>
      <c r="J13" s="26" t="str">
        <f t="shared" ref="J13:J19" si="0">HYPERLINK(K13,"→")</f>
        <v>→</v>
      </c>
      <c r="K13" s="29" t="s">
        <v>125</v>
      </c>
      <c r="L13" s="16"/>
      <c r="M13" s="8"/>
      <c r="N13" s="1"/>
    </row>
    <row r="14" spans="1:20" s="2" customFormat="1">
      <c r="A14" s="21">
        <v>4</v>
      </c>
      <c r="B14" s="22" t="s">
        <v>81</v>
      </c>
      <c r="C14" s="23" t="s">
        <v>126</v>
      </c>
      <c r="D14" s="24" t="s">
        <v>127</v>
      </c>
      <c r="E14" s="24"/>
      <c r="F14" s="24" t="s">
        <v>85</v>
      </c>
      <c r="G14" s="24"/>
      <c r="H14" s="22" t="s">
        <v>124</v>
      </c>
      <c r="I14" s="13">
        <v>9.5</v>
      </c>
      <c r="J14" s="26" t="str">
        <f t="shared" si="0"/>
        <v>→</v>
      </c>
      <c r="K14" s="29" t="s">
        <v>125</v>
      </c>
      <c r="L14" s="16"/>
      <c r="M14" s="8"/>
      <c r="N14" s="1"/>
    </row>
    <row r="15" spans="1:20" s="2" customFormat="1">
      <c r="A15" s="21">
        <v>6</v>
      </c>
      <c r="B15" s="22" t="s">
        <v>121</v>
      </c>
      <c r="C15" s="23" t="s">
        <v>128</v>
      </c>
      <c r="D15" s="24" t="s">
        <v>129</v>
      </c>
      <c r="E15" s="24" t="s">
        <v>130</v>
      </c>
      <c r="F15" s="24" t="s">
        <v>85</v>
      </c>
      <c r="G15" s="24"/>
      <c r="H15" s="22" t="s">
        <v>131</v>
      </c>
      <c r="I15" s="13">
        <f>208/4</f>
        <v>52</v>
      </c>
      <c r="J15" s="26" t="str">
        <f t="shared" si="0"/>
        <v>→</v>
      </c>
      <c r="K15" s="29" t="s">
        <v>132</v>
      </c>
      <c r="L15" s="16" t="s">
        <v>133</v>
      </c>
      <c r="M15" s="8"/>
      <c r="N15" s="1"/>
    </row>
    <row r="16" spans="1:20" s="2" customFormat="1">
      <c r="A16" s="21">
        <v>1</v>
      </c>
      <c r="B16" s="22" t="s">
        <v>121</v>
      </c>
      <c r="C16" s="21" t="s">
        <v>134</v>
      </c>
      <c r="D16" s="24" t="s">
        <v>135</v>
      </c>
      <c r="E16" s="24" t="s">
        <v>136</v>
      </c>
      <c r="F16" s="24" t="s">
        <v>13</v>
      </c>
      <c r="G16" s="24" t="s">
        <v>13</v>
      </c>
      <c r="H16" s="22"/>
      <c r="I16" s="13">
        <v>17</v>
      </c>
      <c r="J16" s="26" t="str">
        <f t="shared" si="0"/>
        <v>→</v>
      </c>
      <c r="K16" s="29" t="s">
        <v>137</v>
      </c>
      <c r="L16" s="16" t="s">
        <v>138</v>
      </c>
      <c r="M16" s="8"/>
      <c r="N16" s="1"/>
    </row>
    <row r="17" spans="1:14" s="2" customFormat="1">
      <c r="A17" s="21">
        <v>12</v>
      </c>
      <c r="B17" s="22" t="s">
        <v>139</v>
      </c>
      <c r="C17" s="23" t="s">
        <v>140</v>
      </c>
      <c r="D17" s="24" t="s">
        <v>14</v>
      </c>
      <c r="E17" s="24" t="s">
        <v>141</v>
      </c>
      <c r="F17" s="24"/>
      <c r="G17" s="24" t="s">
        <v>13</v>
      </c>
      <c r="H17" s="22"/>
      <c r="I17" s="13">
        <v>14.5</v>
      </c>
      <c r="J17" s="26" t="str">
        <f t="shared" si="0"/>
        <v>→</v>
      </c>
      <c r="K17" s="29" t="s">
        <v>142</v>
      </c>
      <c r="L17" s="16"/>
      <c r="M17" s="8"/>
      <c r="N17" s="1"/>
    </row>
    <row r="18" spans="1:14" s="2" customFormat="1">
      <c r="A18" s="21">
        <v>13</v>
      </c>
      <c r="B18" s="22" t="s">
        <v>139</v>
      </c>
      <c r="C18" s="23" t="s">
        <v>143</v>
      </c>
      <c r="D18" s="24" t="s">
        <v>144</v>
      </c>
      <c r="E18" s="24"/>
      <c r="F18" s="24"/>
      <c r="G18" s="24"/>
      <c r="H18" s="22"/>
      <c r="I18" s="13">
        <v>18.71</v>
      </c>
      <c r="J18" s="30" t="str">
        <f t="shared" si="0"/>
        <v>→</v>
      </c>
      <c r="K18" s="29" t="s">
        <v>145</v>
      </c>
      <c r="L18" s="16" t="s">
        <v>146</v>
      </c>
      <c r="M18" s="8"/>
      <c r="N18" s="1"/>
    </row>
    <row r="19" spans="1:14">
      <c r="A19" s="21">
        <v>14</v>
      </c>
      <c r="B19" s="22" t="s">
        <v>121</v>
      </c>
      <c r="C19" s="23" t="s">
        <v>147</v>
      </c>
      <c r="D19" s="24" t="s">
        <v>148</v>
      </c>
      <c r="E19" s="24" t="s">
        <v>149</v>
      </c>
      <c r="F19" s="24"/>
      <c r="G19" s="24" t="s">
        <v>13</v>
      </c>
      <c r="H19" s="22"/>
      <c r="I19" s="13">
        <v>30</v>
      </c>
      <c r="J19" s="30" t="str">
        <f t="shared" si="0"/>
        <v>→</v>
      </c>
      <c r="K19" s="29" t="s">
        <v>150</v>
      </c>
      <c r="L19" s="16" t="s">
        <v>151</v>
      </c>
    </row>
    <row r="20" spans="1:14">
      <c r="A20" s="21">
        <v>15</v>
      </c>
      <c r="B20" s="22" t="s">
        <v>121</v>
      </c>
      <c r="C20" s="23" t="s">
        <v>152</v>
      </c>
      <c r="D20" s="24" t="s">
        <v>153</v>
      </c>
      <c r="E20" s="24" t="s">
        <v>154</v>
      </c>
      <c r="F20" s="24"/>
      <c r="G20" s="24" t="s">
        <v>13</v>
      </c>
      <c r="H20" s="22"/>
      <c r="I20" s="13">
        <v>30</v>
      </c>
      <c r="K20" s="29"/>
    </row>
    <row r="21" spans="1:14">
      <c r="A21" s="21">
        <v>16</v>
      </c>
      <c r="B21" s="22" t="s">
        <v>155</v>
      </c>
      <c r="C21" s="23" t="s">
        <v>152</v>
      </c>
      <c r="D21" s="24" t="s">
        <v>153</v>
      </c>
      <c r="E21" s="24" t="s">
        <v>156</v>
      </c>
      <c r="F21" s="24"/>
      <c r="G21" s="24"/>
      <c r="H21" s="22"/>
      <c r="I21" s="13">
        <v>30</v>
      </c>
      <c r="K21" s="29"/>
    </row>
    <row r="22" spans="1:14">
      <c r="A22" s="21">
        <v>17</v>
      </c>
      <c r="B22" s="22" t="s">
        <v>157</v>
      </c>
      <c r="C22" s="23" t="s">
        <v>147</v>
      </c>
      <c r="D22" s="24" t="s">
        <v>153</v>
      </c>
      <c r="E22" s="24" t="s">
        <v>158</v>
      </c>
      <c r="F22" s="24"/>
      <c r="G22" s="24"/>
      <c r="H22" s="22"/>
      <c r="I22" s="13">
        <v>30</v>
      </c>
      <c r="K22" s="29"/>
    </row>
    <row r="23" spans="1:14">
      <c r="A23" s="21">
        <v>18</v>
      </c>
      <c r="B23" s="22" t="s">
        <v>81</v>
      </c>
      <c r="C23" s="23" t="s">
        <v>159</v>
      </c>
      <c r="D23" s="31" t="s">
        <v>160</v>
      </c>
      <c r="E23" s="24"/>
      <c r="F23" s="24" t="s">
        <v>85</v>
      </c>
      <c r="G23" s="24" t="s">
        <v>13</v>
      </c>
      <c r="H23" s="22" t="s">
        <v>161</v>
      </c>
      <c r="I23" s="13">
        <v>15</v>
      </c>
      <c r="J23" s="30" t="str">
        <f>HYPERLINK(K23,"→")</f>
        <v>→</v>
      </c>
      <c r="K23" s="29" t="s">
        <v>162</v>
      </c>
    </row>
    <row r="24" spans="1:14">
      <c r="A24" s="21">
        <v>19</v>
      </c>
      <c r="B24" s="22" t="s">
        <v>81</v>
      </c>
      <c r="C24" s="23" t="s">
        <v>163</v>
      </c>
      <c r="D24" s="31" t="s">
        <v>164</v>
      </c>
      <c r="E24" s="24"/>
      <c r="F24" s="24" t="s">
        <v>85</v>
      </c>
      <c r="G24" s="24" t="s">
        <v>13</v>
      </c>
      <c r="H24" s="22" t="s">
        <v>161</v>
      </c>
      <c r="I24" s="13">
        <v>54</v>
      </c>
      <c r="K24" s="29"/>
    </row>
    <row r="25" spans="1:14">
      <c r="A25" s="21">
        <v>20</v>
      </c>
      <c r="B25" s="22" t="s">
        <v>81</v>
      </c>
      <c r="C25" s="23" t="s">
        <v>165</v>
      </c>
      <c r="D25" s="24" t="s">
        <v>166</v>
      </c>
      <c r="E25" s="24"/>
      <c r="F25" s="24" t="s">
        <v>85</v>
      </c>
      <c r="G25" s="24"/>
      <c r="H25" s="22" t="s">
        <v>161</v>
      </c>
      <c r="I25" s="13">
        <v>54</v>
      </c>
      <c r="K25" s="29"/>
    </row>
    <row r="26" spans="1:14">
      <c r="I26" s="19" t="s">
        <v>167</v>
      </c>
    </row>
  </sheetData>
  <phoneticPr fontId="1" type="noConversion"/>
  <dataValidations count="1">
    <dataValidation type="list" allowBlank="1" showInputMessage="1" showErrorMessage="1" sqref="T1">
      <formula1>"是,否"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机加</vt:lpstr>
      <vt:lpstr>外购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PC</cp:lastModifiedBy>
  <dcterms:created xsi:type="dcterms:W3CDTF">2018-06-30T08:41:59Z</dcterms:created>
  <dcterms:modified xsi:type="dcterms:W3CDTF">2019-04-10T13:33:22Z</dcterms:modified>
</cp:coreProperties>
</file>