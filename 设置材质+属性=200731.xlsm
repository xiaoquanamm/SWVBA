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<sst xmlns="http://schemas.openxmlformats.org/spreadsheetml/2006/main" count="240" uniqueCount="175">
  <si>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</si>
  <si>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</si>
  <si>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</si>
  <si>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</si>
  <si>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</si>
  <si>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</si>
  <si>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</si>
  <si>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</si>
  <si>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</si>
  <si>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</si>
  <si>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</si>
  <si>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</si>
  <si>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</si>
  <si>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</si>
  <si>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</si>
  <si>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</si>
  <si>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</si>
  <si>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</si>
  <si>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</si>
  <si>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</si>
  <si>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</si>
  <si>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</si>
  <si>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</si>
  <si>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</si>
  <si>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</si>
  <si>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</si>
  <si>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</si>
  <si>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</si>
  <si>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</si>
  <si>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</si>
  <si>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</si>
  <si>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</si>
  <si>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</si>
  <si>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</si>
  <si>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</si>
  <si>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</si>
  <si>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</si>
  <si>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</si>
  <si>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</si>
  <si>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</si>
  <si>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</si>
  <si>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</si>
  <si>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</si>
  <si>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</si>
  <si>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</si>
  <si>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</si>
  <si>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</si>
  <si>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</si>
  <si>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</si>
  <si>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</si>
  <si>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</si>
  <si>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</si>
  <si>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</si>
  <si>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</si>
  <si>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</si>
  <si>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</si>
  <si>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</si>
  <si>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</si>
  <si>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</si>
  <si>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</si>
  <si>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</si>
  <si>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</si>
  <si>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</si>
  <si>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</si>
  <si>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</si>
  <si>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</si>
  <si>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</si>
  <si>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</si>
  <si>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</si>
  <si>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</si>
  <si>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</si>
  <si>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</si>
  <si>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</si>
  <si>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</si>
  <si>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</si>
  <si>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</si>
  <si>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</si>
  <si>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</si>
  <si>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</si>
  <si>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</si>
  <si>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</si>
  <si>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</si>
  <si>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</si>
  <si>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</si>
  <si>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</si>
  <si>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</si>
  <si>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</si>
  <si>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</si>
  <si>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</si>
  <si>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</si>
  <si>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</si>
  <si>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</si>
  <si>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</si>
  <si>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</si>
  <si>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</si>
  <si>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</si>
  <si>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</si>
  <si>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</si>
  <si>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</si>
  <si>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</si>
  <si>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</si>
  <si>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</si>
  <si>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</si>
  <si>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</si>
  <si>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</si>
  <si>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</si>
  <si>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</si>
  <si>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</si>
  <si>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</si>
  <si>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</si>
  <si>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</si>
  <si>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</si>
  <si>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</si>
  <si>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</si>
  <si>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</si>
  <si>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</si>
  <si>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</si>
  <si>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</si>
  <si>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</si>
  <si>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</si>
  <si>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</si>
  <si>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</si>
  <si>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</si>
  <si>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</si>
  <si>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</si>
  <si>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</si>
  <si>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</si>
  <si>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</si>
  <si>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V2.0</t>
    <phoneticPr fontId="1" type="noConversion"/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</si>
  <si>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</si>
  <si>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</si>
  <si>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</si>
  <si>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</si>
  <si>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</si>
  <si>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</si>
  <si>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</si>
  <si>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</si>
  <si>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</si>
  <si>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</si>
  <si>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</si>
  <si>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</si>
  <si>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默认</t>
  </si>
  <si>
    <t>SKD-11</t>
    <phoneticPr fontId="1" type="noConversion"/>
  </si>
  <si>
    <t>SLDPRT</t>
  </si>
  <si>
    <t>00</t>
  </si>
  <si>
    <t>D:\00gyk\02项目\压力传感器芯体\sw\</t>
  </si>
  <si>
    <t>GJ-YX-00 压力传感器芯体_V1.0</t>
  </si>
  <si>
    <t>SLDASM</t>
  </si>
  <si>
    <t>01</t>
  </si>
  <si>
    <t>GJ-YX-06 丝印-薄片_V2.0</t>
  </si>
  <si>
    <t>02</t>
  </si>
  <si>
    <t>GJ-YX-06 丝印-厚片_V2.0</t>
  </si>
  <si>
    <t>03</t>
  </si>
  <si>
    <t>GJ-YX-06 丝印-方形_V2.0</t>
  </si>
  <si>
    <t>04</t>
  </si>
  <si>
    <t>D:\00gyk\02项目\压力传感器芯体\00输入资料\</t>
  </si>
  <si>
    <t>W22030022  96%三孔氧化铝陶瓷基座</t>
  </si>
  <si>
    <t>Default</t>
  </si>
  <si>
    <t>GJ-YX-03 压力传感器芯体-圆形电容测试_V1.0=废</t>
  </si>
  <si>
    <t>05</t>
  </si>
  <si>
    <t>06</t>
  </si>
  <si>
    <t>07</t>
  </si>
  <si>
    <t>08</t>
  </si>
  <si>
    <t>09</t>
  </si>
  <si>
    <t>否</t>
  </si>
  <si>
    <t>GJ-YX-02 压力传感器芯体-电容测试_V1.0</t>
  </si>
  <si>
    <t>GJ-YX-03 圆形烧结_V1.0</t>
  </si>
  <si>
    <t>GJ-YX-03 圆形烧结_V1.0-线切割</t>
  </si>
  <si>
    <t>GJ-YX-03 压力传感器芯体-圆形电容测试_V1.0</t>
  </si>
  <si>
    <t>GJ-YX-06 丝印-薄片_V1.0</t>
  </si>
  <si>
    <t>GJ-YX-07 丝印-厚片_V1.0</t>
  </si>
  <si>
    <t>GJ-YX-08 丝印-方形_V1.0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</si>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</sst>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8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C15" sqref="C15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42</v>
      </c>
      <c r="B1" s="1" t="s">
        <v>0</v>
      </c>
      <c r="C1" s="1" t="s">
        <v>1</v>
      </c>
      <c r="D1" s="1" t="s">
        <v>40</v>
      </c>
      <c r="E1" s="1" t="s">
        <v>2</v>
      </c>
      <c r="F1" s="22" t="s">
        <v>50</v>
      </c>
      <c r="G1" s="3" t="s">
        <v>49</v>
      </c>
      <c r="H1" s="30" t="s">
        <v>34</v>
      </c>
      <c r="I1" s="4" t="s">
        <v>120</v>
      </c>
      <c r="J1" s="32" t="s">
        <v>127</v>
      </c>
      <c r="K1" s="4" t="s">
        <v>125</v>
      </c>
      <c r="L1" s="4" t="s">
        <v>121</v>
      </c>
      <c r="M1" s="4" t="s">
        <v>123</v>
      </c>
      <c r="N1" s="4" t="s">
        <v>5</v>
      </c>
      <c r="O1" s="4" t="s">
        <v>45</v>
      </c>
      <c r="P1" s="4" t="s">
        <v>122</v>
      </c>
      <c r="Q1" s="13" t="s">
        <v>17</v>
      </c>
      <c r="R1" s="4" t="s">
        <v>6</v>
      </c>
      <c r="S1" s="4" t="s">
        <v>7</v>
      </c>
      <c r="T1" s="1" t="s">
        <v>52</v>
      </c>
      <c r="U1" s="1" t="s">
        <v>115</v>
      </c>
      <c r="V1" s="15" t="s">
        <v>35</v>
      </c>
      <c r="W1" s="15" t="s">
        <v>36</v>
      </c>
      <c r="X1" s="15" t="s">
        <v>37</v>
      </c>
      <c r="Y1" s="15" t="s">
        <v>38</v>
      </c>
      <c r="Z1" s="1" t="s">
        <v>108</v>
      </c>
    </row>
    <row r="2" spans="1:26" s="9" customFormat="1" x14ac:dyDescent="0.15">
      <c r="A2" s="36" t="s">
        <v>144</v>
      </c>
      <c r="B2" s="9" t="s">
        <v>145</v>
      </c>
      <c r="C2" s="11" t="s">
        <v>146</v>
      </c>
      <c r="D2" s="9" t="s">
        <v>141</v>
      </c>
      <c r="E2" s="9" t="s">
        <v>147</v>
      </c>
      <c r="H2" s="37"/>
    </row>
    <row r="3" spans="1:26" s="9" customFormat="1" x14ac:dyDescent="0.15">
      <c r="A3" s="36" t="s">
        <v>148</v>
      </c>
      <c r="B3" s="9" t="s">
        <v>145</v>
      </c>
      <c r="C3" s="11" t="s">
        <v>165</v>
      </c>
      <c r="D3" s="9" t="s">
        <v>141</v>
      </c>
      <c r="E3" s="9" t="s">
        <v>147</v>
      </c>
      <c r="H3" s="37"/>
    </row>
    <row r="4" spans="1:26" s="9" customFormat="1" x14ac:dyDescent="0.15">
      <c r="A4" s="36" t="s">
        <v>150</v>
      </c>
      <c r="B4" s="9" t="s">
        <v>145</v>
      </c>
      <c r="C4" s="11" t="s">
        <v>166</v>
      </c>
      <c r="D4" s="9" t="s">
        <v>141</v>
      </c>
      <c r="E4" s="9" t="s">
        <v>147</v>
      </c>
      <c r="H4" s="37"/>
    </row>
    <row r="5" spans="1:26" s="9" customFormat="1" x14ac:dyDescent="0.15">
      <c r="A5" s="36" t="s">
        <v>152</v>
      </c>
      <c r="B5" s="9" t="s">
        <v>145</v>
      </c>
      <c r="C5" s="11" t="s">
        <v>167</v>
      </c>
      <c r="D5" s="9" t="s">
        <v>141</v>
      </c>
      <c r="E5" s="9" t="s">
        <v>147</v>
      </c>
      <c r="H5" s="37"/>
    </row>
    <row r="6" spans="1:26" s="9" customFormat="1" x14ac:dyDescent="0.15">
      <c r="A6" s="36" t="s">
        <v>154</v>
      </c>
      <c r="B6" s="9" t="s">
        <v>145</v>
      </c>
      <c r="C6" s="11" t="s">
        <v>158</v>
      </c>
      <c r="D6" s="9" t="s">
        <v>141</v>
      </c>
      <c r="E6" s="9" t="s">
        <v>147</v>
      </c>
      <c r="H6" s="37"/>
    </row>
    <row r="7" spans="1:26" s="9" customFormat="1" x14ac:dyDescent="0.15">
      <c r="A7" s="36" t="s">
        <v>159</v>
      </c>
      <c r="B7" s="9" t="s">
        <v>145</v>
      </c>
      <c r="C7" s="11" t="s">
        <v>168</v>
      </c>
      <c r="D7" s="9" t="s">
        <v>141</v>
      </c>
      <c r="E7" s="9" t="s">
        <v>147</v>
      </c>
      <c r="H7" s="37"/>
    </row>
    <row r="8" spans="1:26" s="9" customFormat="1" x14ac:dyDescent="0.15">
      <c r="A8" s="36" t="s">
        <v>160</v>
      </c>
      <c r="B8" s="9" t="s">
        <v>145</v>
      </c>
      <c r="C8" s="11" t="s">
        <v>169</v>
      </c>
      <c r="D8" s="9" t="s">
        <v>141</v>
      </c>
      <c r="E8" s="9" t="s">
        <v>147</v>
      </c>
      <c r="H8" s="37"/>
    </row>
    <row r="9" spans="1:26" s="9" customFormat="1" x14ac:dyDescent="0.15">
      <c r="A9" s="36" t="s">
        <v>161</v>
      </c>
      <c r="B9" s="9" t="s">
        <v>145</v>
      </c>
      <c r="C9" s="11" t="s">
        <v>170</v>
      </c>
      <c r="D9" s="9" t="s">
        <v>141</v>
      </c>
      <c r="E9" s="9" t="s">
        <v>147</v>
      </c>
      <c r="H9" s="37"/>
    </row>
    <row r="10" spans="1:26" s="9" customFormat="1" x14ac:dyDescent="0.15">
      <c r="A10" s="36" t="s">
        <v>162</v>
      </c>
      <c r="B10" s="9" t="s">
        <v>145</v>
      </c>
      <c r="C10" s="11" t="s">
        <v>171</v>
      </c>
      <c r="D10" s="9" t="s">
        <v>141</v>
      </c>
      <c r="E10" s="9" t="s">
        <v>147</v>
      </c>
      <c r="H10" s="37"/>
    </row>
    <row r="11" spans="1:26" s="9" customFormat="1" x14ac:dyDescent="0.15">
      <c r="A11" s="36" t="s">
        <v>163</v>
      </c>
      <c r="B11" s="9" t="s">
        <v>145</v>
      </c>
      <c r="C11" s="11" t="s">
        <v>149</v>
      </c>
      <c r="D11" s="9" t="s">
        <v>141</v>
      </c>
      <c r="E11" s="9" t="s">
        <v>147</v>
      </c>
      <c r="H11" s="37"/>
    </row>
    <row r="12" spans="1:26" s="9" customFormat="1" x14ac:dyDescent="0.15">
      <c r="A12" s="36" t="s">
        <v>172</v>
      </c>
      <c r="B12" s="9" t="s">
        <v>145</v>
      </c>
      <c r="C12" s="11" t="s">
        <v>151</v>
      </c>
      <c r="D12" s="9" t="s">
        <v>141</v>
      </c>
      <c r="E12" s="9" t="s">
        <v>147</v>
      </c>
      <c r="H12" s="37"/>
    </row>
    <row r="13" spans="1:26" x14ac:dyDescent="0.15">
      <c r="A13" s="36" t="s">
        <v>173</v>
      </c>
      <c r="B13" s="9" t="s">
        <v>145</v>
      </c>
      <c r="C13" s="11" t="s">
        <v>153</v>
      </c>
      <c r="D13" s="9" t="s">
        <v>141</v>
      </c>
      <c r="E13" s="9" t="s">
        <v>147</v>
      </c>
      <c r="G13" s="9"/>
      <c r="H13" s="37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6" t="s">
        <v>174</v>
      </c>
      <c r="B14" s="9" t="s">
        <v>155</v>
      </c>
      <c r="C14" s="11" t="s">
        <v>156</v>
      </c>
      <c r="D14" s="9" t="s">
        <v>157</v>
      </c>
      <c r="E14" s="9" t="s">
        <v>143</v>
      </c>
      <c r="G14" s="9"/>
      <c r="H14" s="37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6"/>
      <c r="B15" s="9"/>
      <c r="C15" s="11"/>
      <c r="D15" s="9"/>
      <c r="E15" s="9"/>
      <c r="G15" s="9"/>
      <c r="H15" s="37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6"/>
      <c r="B16" s="9"/>
      <c r="C16" s="11"/>
      <c r="D16" s="9"/>
      <c r="E16" s="9"/>
      <c r="G16" s="9"/>
      <c r="H16" s="37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6"/>
      <c r="B17" s="9"/>
      <c r="C17" s="11"/>
      <c r="D17" s="9"/>
      <c r="E17" s="9"/>
      <c r="G17" s="9"/>
      <c r="H17" s="37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15">
      <c r="A18" s="36"/>
      <c r="B18" s="9"/>
      <c r="C18" s="11"/>
      <c r="D18" s="9"/>
      <c r="E18" s="9"/>
      <c r="G18" s="9"/>
      <c r="H18" s="37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</sheetData>
  <autoFilter ref="A1:Y1">
    <sortState ref="A2:Y13">
      <sortCondition ref="B1"/>
    </sortState>
  </autoFilter>
  <sortState ref="A2:Z18">
    <sortCondition ref="A4"/>
  </sortState>
  <dataConsolidate/>
  <phoneticPr fontId="1" type="noConversion"/>
  <conditionalFormatting sqref="E1:F1 E2:E1048576">
    <cfRule type="cellIs" dxfId="3" priority="71" operator="equal">
      <formula>"sldasm"</formula>
    </cfRule>
  </conditionalFormatting>
  <conditionalFormatting sqref="C1:C1048576">
    <cfRule type="duplicateValues" dxfId="2" priority="105"/>
  </conditionalFormatting>
  <conditionalFormatting sqref="H1 H13:H1048576">
    <cfRule type="duplicateValues" dxfId="1" priority="10"/>
  </conditionalFormatting>
  <conditionalFormatting sqref="H2:H12">
    <cfRule type="duplicateValues" dxfId="0" priority="113"/>
  </conditionalFormatting>
  <dataValidations count="56">
    <dataValidation type="list" allowBlank="1" showInputMessage="1" sqref="G3 G5:G7">
      <formula1>"Mn13钢板,Q235-A,304,45,无缝钢管,Q235-A钢板,SKD-11,20CrMnTi,8级,SKD-11,8.8级,100HV,65Mn,不锈钢,"</formula1>
    </dataValidation>
    <dataValidation type="list" allowBlank="1" showInputMessage="1" sqref="M10">
      <formula1>"组装件,机加件,焊接件,标准件,企标件,外购件,钣金件,激光下料,铝型材,"</formula1>
    </dataValidation>
    <dataValidation type="list" allowBlank="1" showInputMessage="1" sqref="L9">
      <formula1>"1㎡厚2,285X150X10,Φ50长25,Φ500厚5,Φ500XΦ400厚5,Φ51X6长25,16b-5560,50X50X5长855,长""D1@凸台-拉伸1@kk.SLDPRT"","</formula1>
    </dataValidation>
    <dataValidation type="list" allowBlank="1" showInputMessage="1" sqref="L12">
      <formula1>"1㎡厚2,285X150X10,Φ50长25,Φ500厚5,Φ500XΦ400厚5,Φ51X6长25,16b-5560,50X50X5长855,长""D1@凸台-拉伸1@kk.SLDPRT"","</formula1>
    </dataValidation>
    <dataValidation type="list" allowBlank="1" showInputMessage="1" sqref="L15">
      <formula1>"1㎡厚2,285X150X10,Φ50长25,Φ500厚5,Φ500XΦ400厚5,Φ51X6长25,16b-5560,50X50X5长855,长""D1@凸台-拉伸1@kk.SLDPRT"","</formula1>
    </dataValidation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N2">
      <formula1>"组件,焊件,材质？方通,材质？角钢,"</formula1>
    </dataValidation>
    <dataValidation type="list" allowBlank="1" showInputMessage="1" sqref="R2">
      <formula1>"余魁,陈正波,"</formula1>
    </dataValidation>
    <dataValidation type="list" allowBlank="1" showInputMessage="1" sqref="S2">
      <formula1>"激光切割 本图,激光切割,本图,无图,外购件,见对称件图,"</formula1>
    </dataValidation>
    <dataValidation type="list" allowBlank="1" showInputMessage="1" sqref="L3">
      <formula1>"1㎡厚2,285X150X10,Φ50长25,Φ500厚5,Φ500XΦ400厚5,Φ51X6长25,16b-5560,50X50X5长855,长""D1@凸台-拉伸1@kk.SLDPRT"","</formula1>
    </dataValidation>
    <dataValidation type="list" allowBlank="1" showInputMessage="1" sqref="M3">
      <formula1>"组装件,机加件,焊接件,标准件,企标件,外购件,钣金件,激光下料,铝型材,"</formula1>
    </dataValidation>
    <dataValidation type="list" allowBlank="1" showInputMessage="1" sqref="N3">
      <formula1>"组件,焊件,材质？方通,材质？角钢,"</formula1>
    </dataValidation>
    <dataValidation type="list" allowBlank="1" showInputMessage="1" sqref="Q3">
      <formula1>"V1.0,0,D,V2.0,"</formula1>
    </dataValidation>
    <dataValidation type="list" allowBlank="1" showInputMessage="1" sqref="R3">
      <formula1>"余魁,陈正波,"</formula1>
    </dataValidation>
    <dataValidation type="list" allowBlank="1" showInputMessage="1" sqref="S3">
      <formula1>"激光切割 本图,激光切割,本图,无图,外购件,见对称件图,"</formula1>
    </dataValidation>
    <dataValidation type="list" allowBlank="1" showInputMessage="1" sqref="L4">
      <formula1>"1㎡厚2,285X150X10,Φ50长25,Φ500厚5,Φ500XΦ400厚5,Φ51X6长25,16b-5560,50X50X5长855,长""D1@凸台-拉伸1@kk.SLDPRT"","</formula1>
    </dataValidation>
    <dataValidation type="list" allowBlank="1" showInputMessage="1" sqref="M4">
      <formula1>"组装件,机加件,焊接件,标准件,企标件,外购件,钣金件,激光下料,铝型材,"</formula1>
    </dataValidation>
    <dataValidation type="list" allowBlank="1" showInputMessage="1" sqref="N4">
      <formula1>"组件,焊件,材质？方通,材质？角钢,"</formula1>
    </dataValidation>
    <dataValidation type="list" allowBlank="1" showInputMessage="1" sqref="Q4">
      <formula1>"V1.0,0,D,V2.0,"</formula1>
    </dataValidation>
    <dataValidation type="list" allowBlank="1" showInputMessage="1" sqref="R4">
      <formula1>"余魁,陈正波,"</formula1>
    </dataValidation>
    <dataValidation type="list" allowBlank="1" showInputMessage="1" sqref="S4">
      <formula1>"激光切割 本图,激光切割,本图,无图,外购件,见对称件图,"</formula1>
    </dataValidation>
    <dataValidation type="list" allowBlank="1" showInputMessage="1" sqref="L5">
      <formula1>"1㎡厚2,285X150X10,Φ50长25,Φ500厚5,Φ500XΦ400厚5,Φ51X6长25,16b-5560,50X50X5长855,长""D1@凸台-拉伸1@kk.SLDPRT"","</formula1>
    </dataValidation>
    <dataValidation type="list" allowBlank="1" showInputMessage="1" sqref="M5">
      <formula1>"组装件,机加件,焊接件,标准件,企标件,外购件,钣金件,激光下料,铝型材,"</formula1>
    </dataValidation>
    <dataValidation type="list" allowBlank="1" showInputMessage="1" sqref="N5">
      <formula1>"组件,焊件,材质？方通,材质？角钢,"</formula1>
    </dataValidation>
    <dataValidation type="list" allowBlank="1" showInputMessage="1" sqref="Q5">
      <formula1>"V1.0,0,D,V2.0,"</formula1>
    </dataValidation>
    <dataValidation type="list" allowBlank="1" showInputMessage="1" sqref="R5">
      <formula1>"余魁,陈正波,"</formula1>
    </dataValidation>
    <dataValidation type="list" allowBlank="1" showInputMessage="1" sqref="S5">
      <formula1>"激光切割 本图,激光切割,本图,无图,外购件,见对称件图,"</formula1>
    </dataValidation>
    <dataValidation type="list" allowBlank="1" showInputMessage="1" sqref="L6">
      <formula1>"1㎡厚2,285X150X10,Φ50长25,Φ500厚5,Φ500XΦ400厚5,Φ51X6长25,16b-5560,50X50X5长855,长""D1@凸台-拉伸1@kk.SLDPRT"","</formula1>
    </dataValidation>
    <dataValidation type="list" allowBlank="1" showInputMessage="1" sqref="M6">
      <formula1>"组装件,机加件,焊接件,标准件,企标件,外购件,钣金件,激光下料,铝型材,"</formula1>
    </dataValidation>
    <dataValidation type="list" allowBlank="1" showInputMessage="1" sqref="N6">
      <formula1>"组件,焊件,材质？方通,材质？角钢,"</formula1>
    </dataValidation>
    <dataValidation type="list" allowBlank="1" showInputMessage="1" sqref="Q6">
      <formula1>"V1.0,0,D,V2.0,"</formula1>
    </dataValidation>
    <dataValidation type="list" allowBlank="1" showInputMessage="1" sqref="R6">
      <formula1>"余魁,陈正波,"</formula1>
    </dataValidation>
    <dataValidation type="list" allowBlank="1" showInputMessage="1" sqref="S6">
      <formula1>"激光切割 本图,激光切割,本图,无图,外购件,见对称件图,"</formula1>
    </dataValidation>
    <dataValidation type="list" allowBlank="1" showInputMessage="1" sqref="M7">
      <formula1>"组装件,机加件,焊接件,标准件,企标件,外购件,钣金件,激光下料,铝型材,"</formula1>
    </dataValidation>
    <dataValidation type="list" allowBlank="1" showInputMessage="1" sqref="N7">
      <formula1>"组件,焊件,材质？方通,材质？角钢,"</formula1>
    </dataValidation>
    <dataValidation type="list" allowBlank="1" showInputMessage="1" sqref="Q7">
      <formula1>"V1.0,0,D,V2.0,"</formula1>
    </dataValidation>
    <dataValidation type="list" allowBlank="1" showInputMessage="1" sqref="R7">
      <formula1>"余魁,陈正波,"</formula1>
    </dataValidation>
    <dataValidation type="list" allowBlank="1" showInputMessage="1" sqref="S7">
      <formula1>"激光切割 本图,激光切割,本图,无图,外购件,见对称件图,"</formula1>
    </dataValidation>
    <dataValidation type="list" allowBlank="1" showInputMessage="1" sqref="L8">
      <formula1>"1㎡厚2,285X150X10,Φ50长25,Φ500厚5,Φ500XΦ400厚5,Φ51X6长25,16b-5560,50X50X5长855,长""D1@凸台-拉伸1@kk.SLDPRT"","</formula1>
    </dataValidation>
    <dataValidation type="list" allowBlank="1" showInputMessage="1" sqref="M8">
      <formula1>"组装件,机加件,焊接件,标准件,企标件,外购件,钣金件,激光下料,铝型材,"</formula1>
    </dataValidation>
    <dataValidation type="list" allowBlank="1" showInputMessage="1" sqref="N8">
      <formula1>"组件,焊件,材质？方通,材质？角钢,"</formula1>
    </dataValidation>
    <dataValidation type="list" allowBlank="1" showInputMessage="1" sqref="Q8">
      <formula1>"V1.0,0,D,V2.0,"</formula1>
    </dataValidation>
    <dataValidation type="list" allowBlank="1" showInputMessage="1" sqref="R8">
      <formula1>"余魁,陈正波,"</formula1>
    </dataValidation>
    <dataValidation type="list" allowBlank="1" showInputMessage="1" sqref="S8">
      <formula1>"激光切割 本图,激光切割,本图,无图,外购件,见对称件图,"</formula1>
    </dataValidation>
    <dataValidation type="list" allowBlank="1" showInputMessage="1" sqref="Q2">
      <formula1>"V1.0,0,D,V2.0,"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R18">
      <formula1>"余魁,陈正波,"</formula1>
    </dataValidation>
    <dataValidation type="list" allowBlank="1" showInputMessage="1" sqref="S20">
      <formula1>"激光切割 本图,激光切割,本图,无图,外购件,见对称件图,"</formula1>
    </dataValidation>
    <dataValidation type="list" allowBlank="1" showInputMessage="1" sqref="R11">
      <formula1>"余魁,陈正波,"</formula1>
    </dataValidation>
    <dataValidation type="list" allowBlank="1" showInputMessage="1" sqref="M9">
      <formula1>"组装件,机加件,焊接件,标准件,企标件,外购件,钣金件,激光下料,铝型材,"</formula1>
    </dataValidation>
    <dataValidation type="list" allowBlank="1" showInputMessage="1" sqref="L16">
      <formula1>"1㎡厚2,285X150X10,Φ50长25,Φ500厚5,Φ500XΦ400厚5,Φ51X6长25,16b-5560,50X50X5长855,长""D1@凸台-拉伸1@kk.SLDPRT"","</formula1>
    </dataValidation>
    <dataValidation type="list" allowBlank="1" showInputMessage="1" sqref="G16">
      <formula1>"Mn13钢板,Q235-A,304,45,无缝钢管,Q235-A钢板,SKD-11,20CrMnTi,8级,SKD-11,8.8级,100HV,65Mn,不锈钢,"</formula1>
    </dataValidation>
    <dataValidation type="list" allowBlank="1" showInputMessage="1" sqref="G8">
      <formula1>"Mn13钢板,Q235-A,304,45,无缝钢管,Q235-A钢板,SKD-11,20CrMnTi,8级,SKD-11,8.8级,100HV,65Mn,不锈钢,"</formula1>
    </dataValidation>
    <dataValidation type="list" allowBlank="1" showInputMessage="1" sqref="G21">
      <formula1>"Mn13钢板,Q235-A,304,45,无缝钢管,Q235-A钢板,SKD-11,20CrMnTi,8级,SKD-11,8.8级,100HV,65Mn,不锈钢,"</formula1>
    </dataValidation>
    <dataValidation type="list" allowBlank="1" showInputMessage="1" sqref="G14">
      <formula1>"Mn13钢板,Q235-A,304,45,无缝钢管,Q235-A钢板,SKD-11,20CrMnTi,8级,SKD-11,8.8级,100HV,65Mn,不锈钢,"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5"/>
  <sheetViews>
    <sheetView zoomScale="130" zoomScaleNormal="130" workbookViewId="0">
      <selection activeCell="S2" sqref="S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70</v>
      </c>
      <c r="F1" s="24" t="s">
        <v>20</v>
      </c>
      <c r="G1" s="24" t="s">
        <v>27</v>
      </c>
      <c r="H1" s="24" t="s">
        <v>26</v>
      </c>
      <c r="I1" s="24" t="s">
        <v>71</v>
      </c>
      <c r="J1" s="24" t="s">
        <v>123</v>
      </c>
      <c r="K1" s="25" t="s">
        <v>52</v>
      </c>
      <c r="L1" s="24" t="s">
        <v>69</v>
      </c>
      <c r="M1" s="24" t="s">
        <v>44</v>
      </c>
      <c r="N1" s="24" t="s">
        <v>73</v>
      </c>
      <c r="O1" s="24" t="s">
        <v>74</v>
      </c>
      <c r="P1" s="24" t="s">
        <v>72</v>
      </c>
      <c r="Q1" s="11" t="s">
        <v>10</v>
      </c>
      <c r="R1" s="10" t="s">
        <v>13</v>
      </c>
      <c r="S1" s="23" t="s">
        <v>39</v>
      </c>
      <c r="T1" s="16" t="s">
        <v>164</v>
      </c>
      <c r="U1" s="17" t="s">
        <v>43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9</v>
      </c>
      <c r="B2" s="20" t="s">
        <v>23</v>
      </c>
      <c r="C2" s="21" t="s">
        <v>118</v>
      </c>
      <c r="D2" s="14"/>
      <c r="E2" s="28" t="s">
        <v>84</v>
      </c>
      <c r="F2" s="28" t="s">
        <v>85</v>
      </c>
      <c r="G2" s="28" t="s">
        <v>86</v>
      </c>
      <c r="H2" s="28" t="s">
        <v>21</v>
      </c>
      <c r="I2" s="2" t="s">
        <v>41</v>
      </c>
      <c r="J2" s="28" t="s">
        <v>98</v>
      </c>
      <c r="K2" s="26" t="s">
        <v>53</v>
      </c>
      <c r="L2" s="28" t="s">
        <v>68</v>
      </c>
      <c r="M2" s="28" t="s">
        <v>79</v>
      </c>
      <c r="N2" s="28" t="s">
        <v>76</v>
      </c>
      <c r="O2" s="28" t="s">
        <v>75</v>
      </c>
      <c r="P2" s="28" t="s">
        <v>67</v>
      </c>
      <c r="Q2" s="11" t="s">
        <v>11</v>
      </c>
      <c r="R2" s="10" t="s">
        <v>14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9</v>
      </c>
      <c r="B3" s="20" t="s">
        <v>16</v>
      </c>
      <c r="C3" s="21" t="s">
        <v>22</v>
      </c>
      <c r="D3" s="2"/>
      <c r="E3" s="28" t="s">
        <v>87</v>
      </c>
      <c r="F3" s="28" t="s">
        <v>19</v>
      </c>
      <c r="G3" s="28" t="s">
        <v>88</v>
      </c>
      <c r="H3" s="28" t="s">
        <v>99</v>
      </c>
      <c r="I3" s="2" t="s">
        <v>100</v>
      </c>
      <c r="J3" s="28" t="s">
        <v>101</v>
      </c>
      <c r="K3" s="26" t="s">
        <v>54</v>
      </c>
      <c r="L3" s="28" t="s">
        <v>119</v>
      </c>
      <c r="M3" s="28">
        <v>0</v>
      </c>
      <c r="N3" s="28" t="s">
        <v>78</v>
      </c>
      <c r="O3"/>
      <c r="P3" s="28" t="s">
        <v>80</v>
      </c>
      <c r="Q3" s="11" t="s">
        <v>12</v>
      </c>
      <c r="R3" s="10" t="s">
        <v>15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9</v>
      </c>
      <c r="B4" s="20" t="s">
        <v>16</v>
      </c>
      <c r="C4" s="21">
        <v>304</v>
      </c>
      <c r="E4" s="28" t="s">
        <v>78</v>
      </c>
      <c r="F4" s="28">
        <v>45</v>
      </c>
      <c r="G4" s="28" t="s">
        <v>89</v>
      </c>
      <c r="H4" s="28" t="s">
        <v>117</v>
      </c>
      <c r="I4" s="2" t="s">
        <v>102</v>
      </c>
      <c r="J4" s="28" t="s">
        <v>103</v>
      </c>
      <c r="K4" s="26" t="s">
        <v>55</v>
      </c>
      <c r="L4" s="6"/>
      <c r="M4" s="28" t="s">
        <v>112</v>
      </c>
      <c r="O4"/>
      <c r="P4" s="28" t="s">
        <v>81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9</v>
      </c>
      <c r="B5" s="20" t="s">
        <v>23</v>
      </c>
      <c r="C5" s="21">
        <v>45</v>
      </c>
      <c r="E5" s="28"/>
      <c r="F5" s="28" t="s">
        <v>90</v>
      </c>
      <c r="G5" s="28" t="s">
        <v>91</v>
      </c>
      <c r="H5" s="28" t="s">
        <v>116</v>
      </c>
      <c r="I5" s="2" t="s">
        <v>113</v>
      </c>
      <c r="J5" s="28" t="s">
        <v>30</v>
      </c>
      <c r="K5" s="26" t="s">
        <v>47</v>
      </c>
      <c r="L5" s="6"/>
      <c r="M5" s="28" t="s">
        <v>128</v>
      </c>
      <c r="N5"/>
      <c r="O5"/>
      <c r="P5" s="28" t="s">
        <v>82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9</v>
      </c>
      <c r="B6" s="20" t="s">
        <v>23</v>
      </c>
      <c r="C6" s="21" t="s">
        <v>46</v>
      </c>
      <c r="E6" s="28"/>
      <c r="F6" s="28" t="s">
        <v>92</v>
      </c>
      <c r="G6" s="28" t="s">
        <v>93</v>
      </c>
      <c r="H6" s="28"/>
      <c r="I6" s="2" t="s">
        <v>114</v>
      </c>
      <c r="J6" s="28" t="s">
        <v>105</v>
      </c>
      <c r="K6" s="26" t="s">
        <v>56</v>
      </c>
      <c r="N6"/>
      <c r="O6"/>
      <c r="P6" s="28" t="s">
        <v>83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9</v>
      </c>
      <c r="B7" s="20" t="s">
        <v>23</v>
      </c>
      <c r="C7" s="21" t="s">
        <v>47</v>
      </c>
      <c r="E7" s="28"/>
      <c r="F7" s="28" t="s">
        <v>94</v>
      </c>
      <c r="G7" s="28" t="s">
        <v>95</v>
      </c>
      <c r="H7" s="28"/>
      <c r="I7" s="2" t="s">
        <v>104</v>
      </c>
      <c r="J7" s="28" t="s">
        <v>107</v>
      </c>
      <c r="K7" s="26" t="s">
        <v>57</v>
      </c>
      <c r="N7"/>
      <c r="O7"/>
      <c r="P7" s="28" t="s">
        <v>109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9</v>
      </c>
      <c r="B8" s="20" t="s">
        <v>23</v>
      </c>
      <c r="C8" s="21" t="s">
        <v>142</v>
      </c>
      <c r="E8" s="28"/>
      <c r="F8" s="28" t="s">
        <v>96</v>
      </c>
      <c r="G8" s="28" t="s">
        <v>97</v>
      </c>
      <c r="H8" s="28"/>
      <c r="I8" s="2" t="s">
        <v>33</v>
      </c>
      <c r="J8" s="28" t="s">
        <v>31</v>
      </c>
      <c r="K8" s="26" t="s">
        <v>58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9</v>
      </c>
      <c r="B9" s="20" t="s">
        <v>23</v>
      </c>
      <c r="C9" s="21" t="s">
        <v>48</v>
      </c>
      <c r="E9" s="28"/>
      <c r="F9" s="28" t="s">
        <v>77</v>
      </c>
      <c r="G9" s="28" t="s">
        <v>77</v>
      </c>
      <c r="H9" s="28"/>
      <c r="I9" s="2" t="s">
        <v>106</v>
      </c>
      <c r="J9" s="28" t="s">
        <v>32</v>
      </c>
      <c r="K9" s="26" t="s">
        <v>65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9</v>
      </c>
      <c r="B10" s="20" t="s">
        <v>23</v>
      </c>
      <c r="C10" s="12" t="s">
        <v>28</v>
      </c>
      <c r="E10" s="28"/>
      <c r="F10" s="28"/>
      <c r="G10" s="10"/>
      <c r="H10" s="28"/>
      <c r="I10" s="2" t="s">
        <v>111</v>
      </c>
      <c r="J10" s="28" t="s">
        <v>124</v>
      </c>
      <c r="K10" s="26" t="s">
        <v>51</v>
      </c>
      <c r="N10"/>
      <c r="O10"/>
      <c r="P10" s="9"/>
      <c r="Q10" s="11" t="s">
        <v>66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9</v>
      </c>
      <c r="B11" s="20" t="s">
        <v>23</v>
      </c>
      <c r="C11" s="12" t="s">
        <v>126</v>
      </c>
      <c r="E11" s="18"/>
      <c r="F11" s="28"/>
      <c r="G11" s="10"/>
      <c r="K11" s="26" t="s">
        <v>46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9</v>
      </c>
      <c r="B12" s="20" t="s">
        <v>23</v>
      </c>
      <c r="C12" s="12" t="s">
        <v>24</v>
      </c>
      <c r="E12" s="14"/>
      <c r="F12" s="18"/>
      <c r="K12" s="26" t="s">
        <v>59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9</v>
      </c>
      <c r="B13" s="20" t="s">
        <v>23</v>
      </c>
      <c r="C13" s="12" t="s">
        <v>18</v>
      </c>
      <c r="F13" s="14"/>
      <c r="K13" s="26" t="s">
        <v>60</v>
      </c>
      <c r="L13"/>
      <c r="N13"/>
      <c r="O13"/>
      <c r="P13" s="9"/>
      <c r="R13" s="8"/>
      <c r="S13" s="29" t="s">
        <v>110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9</v>
      </c>
      <c r="B14" s="20" t="s">
        <v>23</v>
      </c>
      <c r="C14" s="12" t="s">
        <v>29</v>
      </c>
      <c r="K14" s="26" t="s">
        <v>61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9</v>
      </c>
      <c r="B15" s="20" t="s">
        <v>23</v>
      </c>
      <c r="C15" s="21" t="s">
        <v>25</v>
      </c>
      <c r="K15" s="26" t="s">
        <v>62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63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64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3"/>
      <c r="I22" s="34" t="s">
        <v>134</v>
      </c>
      <c r="J22" s="33"/>
      <c r="K22" s="33"/>
      <c r="L22" s="34" t="s">
        <v>133</v>
      </c>
    </row>
    <row r="23" spans="1:28" x14ac:dyDescent="0.15">
      <c r="H23" s="33" t="s">
        <v>132</v>
      </c>
      <c r="I23" s="35" t="s">
        <v>138</v>
      </c>
      <c r="J23" s="33" t="s">
        <v>129</v>
      </c>
      <c r="K23" s="33"/>
      <c r="L23" s="33" t="s">
        <v>139</v>
      </c>
    </row>
    <row r="24" spans="1:28" x14ac:dyDescent="0.15">
      <c r="H24" s="33"/>
      <c r="I24" s="34" t="s">
        <v>136</v>
      </c>
      <c r="J24" s="33"/>
      <c r="K24" s="34" t="s">
        <v>135</v>
      </c>
      <c r="L24" s="33"/>
    </row>
    <row r="25" spans="1:28" x14ac:dyDescent="0.15">
      <c r="H25" s="33" t="s">
        <v>129</v>
      </c>
      <c r="I25" s="35" t="s">
        <v>130</v>
      </c>
      <c r="J25" s="33" t="s">
        <v>131</v>
      </c>
      <c r="K25" s="35" t="s">
        <v>137</v>
      </c>
      <c r="L25" s="33" t="s">
        <v>140</v>
      </c>
    </row>
  </sheetData>
  <phoneticPr fontId="1" type="noConversion"/>
  <dataValidations count="10">
    <dataValidation type="list" allowBlank="1" showInputMessage="1" showErrorMessage="1" sqref="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19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  <dataValidation type="list" operator="equal" allowBlank="1" showInputMessage="1" sqref="I23">
      <formula1>"长,X"</formula1>
    </dataValidation>
    <dataValidation operator="equal" allowBlank="1" showInputMessage="1" sqref="I25"/>
    <dataValidation type="list" operator="equal" allowBlank="1" showInputMessage="1" sqref="K25">
      <formula1>"厚,X"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2020-07-31T03:21:25Z</dcterms:modified>
</cp:coreProperties>
</file>