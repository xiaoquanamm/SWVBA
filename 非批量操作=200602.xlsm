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0" windowWidth="23250" windowHeight="1254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 builtInGroupCount="18"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52511"/>
</workbook>
</file>

<file path=xl/calcChain.xml><?xml version="1.0" encoding="utf-8"?>
<calcChain xmlns="http://schemas.openxmlformats.org/spreadsheetml/2006/main">
  <c r="J8" i="1" l="1"/>
  <c r="B4" i="2"/>
  <c r="A4" i="2" s="1"/>
  <c r="B3" i="2"/>
  <c r="A2" i="2"/>
  <c r="J1" i="2"/>
  <c r="K24" i="1"/>
  <c r="K23" i="1"/>
  <c r="K22" i="1"/>
  <c r="F21" i="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 shape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 shapeId="0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 shapeId="0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 shapeId="0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<sst xmlns="http://schemas.openxmlformats.org/spreadsheetml/2006/main" count="224" uniqueCount="191">
  <si>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</si>
  <si>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</si>
  <si>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</si>
  <si>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</si>
  <si>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</si>
  <si>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</si>
  <si>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</si>
  <si>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</si>
  <si>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</si>
  <si>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</si>
  <si>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</si>
  <si>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</si>
  <si>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</si>
  <si>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</si>
  <si>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</si>
  <si>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</si>
  <si>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</si>
  <si>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</si>
  <si>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</si>
  <si>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</si>
  <si>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</si>
  <si>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</si>
  <si>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</si>
  <si>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</si>
  <si>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</si>
  <si>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</si>
  <si>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</si>
  <si>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</si>
  <si>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</si>
  <si>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</si>
  <si>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</si>
  <si>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</si>
  <si>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</si>
  <si>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</si>
  <si>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</si>
  <si>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</si>
  <si>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</si>
  <si>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</si>
  <si>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</si>
  <si>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</si>
  <si>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</si>
  <si>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</si>
  <si>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</si>
  <si>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</si>
  <si>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</si>
  <si>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</si>
  <si>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</si>
  <si>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</si>
  <si>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</si>
  <si>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</si>
  <si>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</si>
  <si>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</si>
  <si>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</si>
  <si>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</si>
  <si>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</si>
  <si>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</si>
  <si>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</si>
  <si>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</si>
  <si>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</si>
  <si>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</si>
  <si>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</si>
  <si>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</si>
  <si>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</si>
  <si>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</si>
  <si>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</si>
  <si>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</si>
  <si>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</si>
  <si>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</si>
  <si>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</si>
  <si>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</si>
  <si>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</si>
  <si>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</si>
  <si>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</si>
  <si>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</si>
  <si>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</si>
  <si>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</si>
  <si>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</si>
  <si>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</si>
  <si>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</si>
  <si>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</si>
  <si>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</si>
  <si>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</si>
  <si>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</si>
  <si>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</si>
  <si>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</si>
  <si>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</si>
  <si>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</si>
  <si>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</si>
  <si>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</si>
  <si>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</si>
  <si>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</si>
  <si>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</si>
  <si>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</si>
  <si>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</si>
  <si>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</si>
  <si>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</si>
  <si>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</si>
  <si>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</si>
  <si>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</si>
  <si>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</si>
  <si>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</si>
  <si>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</si>
  <si>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</si>
  <si>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</si>
  <si>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</si>
  <si>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</si>
  <si>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</si>
  <si>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</si>
  <si>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</si>
  <si>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</si>
  <si>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</si>
  <si>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</si>
  <si>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</si>
  <si>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</si>
  <si>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</si>
  <si>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</si>
  <si>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</si>
  <si>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</si>
  <si>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</si>
  <si>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</si>
  <si>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</si>
  <si>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</si>
  <si>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</si>
  <si>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</si>
  <si>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</si>
  <si>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</si>
  <si>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</si>
  <si>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</si>
  <si>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</si>
  <si>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</si>
  <si>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</si>
  <si>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</si>
  <si>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</si>
  <si>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</si>
  <si>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</si>
  <si>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</si>
  <si>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</si>
  <si>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</si>
  <si>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</si>
  <si>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</si>
  <si>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</si>
  <si>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</si>
  <si>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</si>
  <si>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</si>
  <si>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</si>
  <si>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</si>
  <si>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</si>
  <si>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</si>
  <si>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</si>
  <si>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</si>
  <si>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</si>
  <si>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</si>
  <si>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</si>
  <si>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</si>
  <si>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</si>
  <si>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</si>
  <si>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</si>
  <si>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</si>
  <si>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</si>
  <si>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</si>
  <si>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</si>
  <si>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D:\00gyk\00sw公用\swvba\系列零件设计表模板.xlsm</t>
    <phoneticPr fontId="20" type="noConversion"/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</si>
  <si>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</si>
  <si>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</si>
  <si>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</si>
  <si>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</si>
  <si>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</si>
  <si>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</si>
  <si>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</si>
  <si>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</si>
  <si>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</si>
  <si>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</si>
  <si>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</si>
  <si>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</si>
  <si>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</si>
  <si>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</si>
  <si>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</si>
  <si>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</si>
  <si>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</si>
  <si>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</si>
  <si>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</si>
  <si>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</si>
  <si>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</si>
  <si>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</si>
  <si>
    <t>细节项目517</t>
    <phoneticPr fontId="20" type="noConversion"/>
  </si>
  <si>
    <t>03</t>
    <phoneticPr fontId="20" type="noConversion"/>
  </si>
  <si>
    <t>D:\00gyk\02项目\4线管式摩托车\SW\</t>
    <phoneticPr fontId="20" type="noConversion"/>
  </si>
  <si>
    <t>D00500041 4线管式-压印刀</t>
    <phoneticPr fontId="20" type="noConversion"/>
  </si>
  <si>
    <t>轴套-2台阶</t>
  </si>
  <si>
    <t>护罩</t>
    <phoneticPr fontId="20" type="noConversion"/>
  </si>
  <si>
    <t>GJ-GG-01-03 护罩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</si>
</sst>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共&quot;@&quot;张&quot;"/>
    <numFmt numFmtId="177" formatCode="&quot;第&quot;@&quot;张&quot;"/>
  </numFmts>
  <fonts count="24" x14ac:knownFonts="1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5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6" fillId="0" borderId="0" xfId="0" applyFont="1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simple" dx="16" sel="0" val="0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2.emf"/><Relationship Id="rId21" Type="http://schemas.openxmlformats.org/officeDocument/2006/relationships/image" Target="../media/image47.emf"/><Relationship Id="rId42" Type="http://schemas.openxmlformats.org/officeDocument/2006/relationships/image" Target="../media/image26.emf"/><Relationship Id="rId47" Type="http://schemas.openxmlformats.org/officeDocument/2006/relationships/image" Target="../media/image21.emf"/><Relationship Id="rId63" Type="http://schemas.openxmlformats.org/officeDocument/2006/relationships/image" Target="../media/image5.emf"/><Relationship Id="rId68" Type="http://schemas.openxmlformats.org/officeDocument/2006/relationships/image" Target="../media/image71.emf"/><Relationship Id="rId2" Type="http://schemas.openxmlformats.org/officeDocument/2006/relationships/image" Target="../media/image66.emf"/><Relationship Id="rId16" Type="http://schemas.openxmlformats.org/officeDocument/2006/relationships/image" Target="../media/image52.emf"/><Relationship Id="rId29" Type="http://schemas.openxmlformats.org/officeDocument/2006/relationships/image" Target="../media/image39.emf"/><Relationship Id="rId11" Type="http://schemas.openxmlformats.org/officeDocument/2006/relationships/image" Target="../media/image57.emf"/><Relationship Id="rId24" Type="http://schemas.openxmlformats.org/officeDocument/2006/relationships/image" Target="../media/image44.emf"/><Relationship Id="rId32" Type="http://schemas.openxmlformats.org/officeDocument/2006/relationships/image" Target="../media/image36.emf"/><Relationship Id="rId37" Type="http://schemas.openxmlformats.org/officeDocument/2006/relationships/image" Target="../media/image31.emf"/><Relationship Id="rId40" Type="http://schemas.openxmlformats.org/officeDocument/2006/relationships/image" Target="../media/image28.emf"/><Relationship Id="rId45" Type="http://schemas.openxmlformats.org/officeDocument/2006/relationships/image" Target="../media/image23.emf"/><Relationship Id="rId53" Type="http://schemas.openxmlformats.org/officeDocument/2006/relationships/image" Target="../media/image15.emf"/><Relationship Id="rId58" Type="http://schemas.openxmlformats.org/officeDocument/2006/relationships/image" Target="../media/image10.emf"/><Relationship Id="rId66" Type="http://schemas.openxmlformats.org/officeDocument/2006/relationships/image" Target="../media/image69.emf"/><Relationship Id="rId74" Type="http://schemas.openxmlformats.org/officeDocument/2006/relationships/image" Target="../media/image1.emf"/><Relationship Id="rId5" Type="http://schemas.openxmlformats.org/officeDocument/2006/relationships/image" Target="../media/image63.emf"/><Relationship Id="rId61" Type="http://schemas.openxmlformats.org/officeDocument/2006/relationships/image" Target="../media/image7.emf"/><Relationship Id="rId19" Type="http://schemas.openxmlformats.org/officeDocument/2006/relationships/image" Target="../media/image49.emf"/><Relationship Id="rId14" Type="http://schemas.openxmlformats.org/officeDocument/2006/relationships/image" Target="../media/image54.emf"/><Relationship Id="rId22" Type="http://schemas.openxmlformats.org/officeDocument/2006/relationships/image" Target="../media/image46.emf"/><Relationship Id="rId27" Type="http://schemas.openxmlformats.org/officeDocument/2006/relationships/image" Target="../media/image41.emf"/><Relationship Id="rId30" Type="http://schemas.openxmlformats.org/officeDocument/2006/relationships/image" Target="../media/image38.emf"/><Relationship Id="rId35" Type="http://schemas.openxmlformats.org/officeDocument/2006/relationships/image" Target="../media/image33.emf"/><Relationship Id="rId43" Type="http://schemas.openxmlformats.org/officeDocument/2006/relationships/image" Target="../media/image25.emf"/><Relationship Id="rId48" Type="http://schemas.openxmlformats.org/officeDocument/2006/relationships/image" Target="../media/image20.emf"/><Relationship Id="rId56" Type="http://schemas.openxmlformats.org/officeDocument/2006/relationships/image" Target="../media/image12.emf"/><Relationship Id="rId64" Type="http://schemas.openxmlformats.org/officeDocument/2006/relationships/image" Target="../media/image4.emf"/><Relationship Id="rId69" Type="http://schemas.openxmlformats.org/officeDocument/2006/relationships/image" Target="../media/image72.emf"/><Relationship Id="rId8" Type="http://schemas.openxmlformats.org/officeDocument/2006/relationships/image" Target="../media/image60.emf"/><Relationship Id="rId51" Type="http://schemas.openxmlformats.org/officeDocument/2006/relationships/image" Target="../media/image17.emf"/><Relationship Id="rId72" Type="http://schemas.openxmlformats.org/officeDocument/2006/relationships/image" Target="../media/image74.emf"/><Relationship Id="rId3" Type="http://schemas.openxmlformats.org/officeDocument/2006/relationships/image" Target="../media/image65.emf"/><Relationship Id="rId12" Type="http://schemas.openxmlformats.org/officeDocument/2006/relationships/image" Target="../media/image56.emf"/><Relationship Id="rId17" Type="http://schemas.openxmlformats.org/officeDocument/2006/relationships/image" Target="../media/image51.emf"/><Relationship Id="rId25" Type="http://schemas.openxmlformats.org/officeDocument/2006/relationships/image" Target="../media/image43.emf"/><Relationship Id="rId33" Type="http://schemas.openxmlformats.org/officeDocument/2006/relationships/image" Target="../media/image35.emf"/><Relationship Id="rId38" Type="http://schemas.openxmlformats.org/officeDocument/2006/relationships/image" Target="../media/image30.emf"/><Relationship Id="rId46" Type="http://schemas.openxmlformats.org/officeDocument/2006/relationships/image" Target="../media/image22.emf"/><Relationship Id="rId59" Type="http://schemas.openxmlformats.org/officeDocument/2006/relationships/image" Target="../media/image9.emf"/><Relationship Id="rId67" Type="http://schemas.openxmlformats.org/officeDocument/2006/relationships/image" Target="../media/image70.emf"/><Relationship Id="rId20" Type="http://schemas.openxmlformats.org/officeDocument/2006/relationships/image" Target="../media/image48.emf"/><Relationship Id="rId41" Type="http://schemas.openxmlformats.org/officeDocument/2006/relationships/image" Target="../media/image27.emf"/><Relationship Id="rId54" Type="http://schemas.openxmlformats.org/officeDocument/2006/relationships/image" Target="../media/image14.emf"/><Relationship Id="rId62" Type="http://schemas.openxmlformats.org/officeDocument/2006/relationships/image" Target="../media/image6.emf"/><Relationship Id="rId70" Type="http://schemas.openxmlformats.org/officeDocument/2006/relationships/image" Target="../media/image3.emf"/><Relationship Id="rId1" Type="http://schemas.openxmlformats.org/officeDocument/2006/relationships/image" Target="../media/image67.emf"/><Relationship Id="rId6" Type="http://schemas.openxmlformats.org/officeDocument/2006/relationships/image" Target="../media/image62.emf"/><Relationship Id="rId15" Type="http://schemas.openxmlformats.org/officeDocument/2006/relationships/image" Target="../media/image53.emf"/><Relationship Id="rId23" Type="http://schemas.openxmlformats.org/officeDocument/2006/relationships/image" Target="../media/image45.emf"/><Relationship Id="rId28" Type="http://schemas.openxmlformats.org/officeDocument/2006/relationships/image" Target="../media/image40.emf"/><Relationship Id="rId36" Type="http://schemas.openxmlformats.org/officeDocument/2006/relationships/image" Target="../media/image32.emf"/><Relationship Id="rId49" Type="http://schemas.openxmlformats.org/officeDocument/2006/relationships/image" Target="../media/image19.emf"/><Relationship Id="rId57" Type="http://schemas.openxmlformats.org/officeDocument/2006/relationships/image" Target="../media/image11.emf"/><Relationship Id="rId10" Type="http://schemas.openxmlformats.org/officeDocument/2006/relationships/image" Target="../media/image58.emf"/><Relationship Id="rId31" Type="http://schemas.openxmlformats.org/officeDocument/2006/relationships/image" Target="../media/image37.emf"/><Relationship Id="rId44" Type="http://schemas.openxmlformats.org/officeDocument/2006/relationships/image" Target="../media/image24.emf"/><Relationship Id="rId52" Type="http://schemas.openxmlformats.org/officeDocument/2006/relationships/image" Target="../media/image16.emf"/><Relationship Id="rId60" Type="http://schemas.openxmlformats.org/officeDocument/2006/relationships/image" Target="../media/image8.emf"/><Relationship Id="rId65" Type="http://schemas.openxmlformats.org/officeDocument/2006/relationships/image" Target="../media/image68.emf"/><Relationship Id="rId73" Type="http://schemas.openxmlformats.org/officeDocument/2006/relationships/image" Target="../media/image2.emf"/><Relationship Id="rId4" Type="http://schemas.openxmlformats.org/officeDocument/2006/relationships/image" Target="../media/image64.emf"/><Relationship Id="rId9" Type="http://schemas.openxmlformats.org/officeDocument/2006/relationships/image" Target="../media/image59.emf"/><Relationship Id="rId13" Type="http://schemas.openxmlformats.org/officeDocument/2006/relationships/image" Target="../media/image55.emf"/><Relationship Id="rId18" Type="http://schemas.openxmlformats.org/officeDocument/2006/relationships/image" Target="../media/image50.emf"/><Relationship Id="rId39" Type="http://schemas.openxmlformats.org/officeDocument/2006/relationships/image" Target="../media/image29.emf"/><Relationship Id="rId34" Type="http://schemas.openxmlformats.org/officeDocument/2006/relationships/image" Target="../media/image34.emf"/><Relationship Id="rId50" Type="http://schemas.openxmlformats.org/officeDocument/2006/relationships/image" Target="../media/image18.emf"/><Relationship Id="rId55" Type="http://schemas.openxmlformats.org/officeDocument/2006/relationships/image" Target="../media/image13.emf"/><Relationship Id="rId7" Type="http://schemas.openxmlformats.org/officeDocument/2006/relationships/image" Target="../media/image61.emf"/><Relationship Id="rId71" Type="http://schemas.openxmlformats.org/officeDocument/2006/relationships/image" Target="../media/image7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28575</xdr:colOff>
          <xdr:row>0</xdr:row>
          <xdr:rowOff>257175</xdr:rowOff>
        </xdr:to>
        <xdr:sp macro="" textlink="">
          <xdr:nvSpPr>
            <xdr:cNvPr id="1025" name="CommandButton中心线矩形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6</xdr:col>
          <xdr:colOff>47625</xdr:colOff>
          <xdr:row>13</xdr:row>
          <xdr:rowOff>47625</xdr:rowOff>
        </xdr:to>
        <xdr:sp macro="" textlink="">
          <xdr:nvSpPr>
            <xdr:cNvPr id="1027" name="CommandButton等距曲面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0</xdr:row>
          <xdr:rowOff>38100</xdr:rowOff>
        </xdr:from>
        <xdr:to>
          <xdr:col>17</xdr:col>
          <xdr:colOff>28575</xdr:colOff>
          <xdr:row>0</xdr:row>
          <xdr:rowOff>285750</xdr:rowOff>
        </xdr:to>
        <xdr:sp macro="" textlink="">
          <xdr:nvSpPr>
            <xdr:cNvPr id="1030" name="CommandButton更新外部参考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12</xdr:row>
          <xdr:rowOff>19050</xdr:rowOff>
        </xdr:from>
        <xdr:to>
          <xdr:col>13</xdr:col>
          <xdr:colOff>95250</xdr:colOff>
          <xdr:row>13</xdr:row>
          <xdr:rowOff>47625</xdr:rowOff>
        </xdr:to>
        <xdr:sp macro="" textlink="">
          <xdr:nvSpPr>
            <xdr:cNvPr id="1032" name="CommandButton插入坐标系_仅选择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295275</xdr:colOff>
          <xdr:row>23</xdr:row>
          <xdr:rowOff>85725</xdr:rowOff>
        </xdr:to>
        <xdr:sp macro="" textlink="">
          <xdr:nvSpPr>
            <xdr:cNvPr id="1040" name="CommandButton当前sw名称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22</xdr:row>
          <xdr:rowOff>0</xdr:rowOff>
        </xdr:from>
        <xdr:to>
          <xdr:col>3</xdr:col>
          <xdr:colOff>228600</xdr:colOff>
          <xdr:row>23</xdr:row>
          <xdr:rowOff>85725</xdr:rowOff>
        </xdr:to>
        <xdr:sp macro="" textlink="">
          <xdr:nvSpPr>
            <xdr:cNvPr id="1053" name="CommandButton1生成工程图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12</xdr:row>
          <xdr:rowOff>28575</xdr:rowOff>
        </xdr:from>
        <xdr:to>
          <xdr:col>16</xdr:col>
          <xdr:colOff>314325</xdr:colOff>
          <xdr:row>13</xdr:row>
          <xdr:rowOff>57150</xdr:rowOff>
        </xdr:to>
        <xdr:sp macro="" textlink="">
          <xdr:nvSpPr>
            <xdr:cNvPr id="1057" name="CommandButton坐标系配合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476250</xdr:colOff>
          <xdr:row>5</xdr:row>
          <xdr:rowOff>47625</xdr:rowOff>
        </xdr:from>
        <xdr:to>
          <xdr:col>17</xdr:col>
          <xdr:colOff>247650</xdr:colOff>
          <xdr:row>6</xdr:row>
          <xdr:rowOff>66675</xdr:rowOff>
        </xdr:to>
        <xdr:sp macro="" textlink="">
          <xdr:nvSpPr>
            <xdr:cNvPr id="1058" name="CommandButton重生成指定配置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6</xdr:row>
          <xdr:rowOff>57150</xdr:rowOff>
        </xdr:from>
        <xdr:to>
          <xdr:col>14</xdr:col>
          <xdr:colOff>571500</xdr:colOff>
          <xdr:row>6</xdr:row>
          <xdr:rowOff>314325</xdr:rowOff>
        </xdr:to>
        <xdr:sp macro="" textlink="">
          <xdr:nvSpPr>
            <xdr:cNvPr id="1066" name="CommandButton特征加后缀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</xdr:row>
          <xdr:rowOff>142875</xdr:rowOff>
        </xdr:from>
        <xdr:to>
          <xdr:col>16</xdr:col>
          <xdr:colOff>247650</xdr:colOff>
          <xdr:row>7</xdr:row>
          <xdr:rowOff>19050</xdr:rowOff>
        </xdr:to>
        <xdr:sp macro="" textlink="">
          <xdr:nvSpPr>
            <xdr:cNvPr id="1068" name="CommandButton处理主体配置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15</xdr:row>
          <xdr:rowOff>28575</xdr:rowOff>
        </xdr:from>
        <xdr:to>
          <xdr:col>13</xdr:col>
          <xdr:colOff>390525</xdr:colOff>
          <xdr:row>16</xdr:row>
          <xdr:rowOff>104775</xdr:rowOff>
        </xdr:to>
        <xdr:sp macro="" textlink="">
          <xdr:nvSpPr>
            <xdr:cNvPr id="1075" name="CommandButton更新坐标系_替换后用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13</xdr:row>
          <xdr:rowOff>66675</xdr:rowOff>
        </xdr:from>
        <xdr:to>
          <xdr:col>13</xdr:col>
          <xdr:colOff>400050</xdr:colOff>
          <xdr:row>14</xdr:row>
          <xdr:rowOff>152400</xdr:rowOff>
        </xdr:to>
        <xdr:sp macro="" textlink="">
          <xdr:nvSpPr>
            <xdr:cNvPr id="1076" name="CommandButton1坐标系改名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38100</xdr:rowOff>
        </xdr:from>
        <xdr:to>
          <xdr:col>4</xdr:col>
          <xdr:colOff>647700</xdr:colOff>
          <xdr:row>7</xdr:row>
          <xdr:rowOff>104775</xdr:rowOff>
        </xdr:to>
        <xdr:sp macro="" textlink="">
          <xdr:nvSpPr>
            <xdr:cNvPr id="1077" name="CommandButton切割清单属性to配置特定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15</xdr:col>
          <xdr:colOff>428625</xdr:colOff>
          <xdr:row>21</xdr:row>
          <xdr:rowOff>114300</xdr:rowOff>
        </xdr:to>
        <xdr:sp macro="" textlink="">
          <xdr:nvSpPr>
            <xdr:cNvPr id="1080" name="CommandButton粘贴技术要求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161925</xdr:rowOff>
        </xdr:from>
        <xdr:to>
          <xdr:col>0</xdr:col>
          <xdr:colOff>800100</xdr:colOff>
          <xdr:row>25</xdr:row>
          <xdr:rowOff>76200</xdr:rowOff>
        </xdr:to>
        <xdr:sp macro="" textlink="">
          <xdr:nvSpPr>
            <xdr:cNvPr id="1081" name="CommandButton修改张数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85725</xdr:rowOff>
        </xdr:from>
        <xdr:to>
          <xdr:col>7</xdr:col>
          <xdr:colOff>95250</xdr:colOff>
          <xdr:row>14</xdr:row>
          <xdr:rowOff>161925</xdr:rowOff>
        </xdr:to>
        <xdr:sp macro="" textlink="">
          <xdr:nvSpPr>
            <xdr:cNvPr id="1085" name="CommandButton派生草图到其他零件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12</xdr:row>
          <xdr:rowOff>38100</xdr:rowOff>
        </xdr:from>
        <xdr:to>
          <xdr:col>7</xdr:col>
          <xdr:colOff>257175</xdr:colOff>
          <xdr:row>13</xdr:row>
          <xdr:rowOff>9525</xdr:rowOff>
        </xdr:to>
        <xdr:sp macro="" textlink="">
          <xdr:nvSpPr>
            <xdr:cNvPr id="1086" name="CheckBox全选实体面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12</xdr:row>
          <xdr:rowOff>19050</xdr:rowOff>
        </xdr:from>
        <xdr:to>
          <xdr:col>8</xdr:col>
          <xdr:colOff>657225</xdr:colOff>
          <xdr:row>13</xdr:row>
          <xdr:rowOff>47625</xdr:rowOff>
        </xdr:to>
        <xdr:sp macro="" textlink="">
          <xdr:nvSpPr>
            <xdr:cNvPr id="1088" name="CommandButton更新等距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1</xdr:col>
          <xdr:colOff>47625</xdr:colOff>
          <xdr:row>14</xdr:row>
          <xdr:rowOff>57150</xdr:rowOff>
        </xdr:to>
        <xdr:sp macro="" textlink="">
          <xdr:nvSpPr>
            <xdr:cNvPr id="1090" name="CommandButton插入外部参考装配体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38100</xdr:rowOff>
        </xdr:from>
        <xdr:to>
          <xdr:col>4</xdr:col>
          <xdr:colOff>581025</xdr:colOff>
          <xdr:row>14</xdr:row>
          <xdr:rowOff>66675</xdr:rowOff>
        </xdr:to>
        <xdr:sp macro="" textlink="">
          <xdr:nvSpPr>
            <xdr:cNvPr id="1091" name="CommandButton选择零件重装配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10</xdr:row>
          <xdr:rowOff>104775</xdr:rowOff>
        </xdr:from>
        <xdr:to>
          <xdr:col>7</xdr:col>
          <xdr:colOff>161925</xdr:colOff>
          <xdr:row>11</xdr:row>
          <xdr:rowOff>123825</xdr:rowOff>
        </xdr:to>
        <xdr:sp macro="" textlink="">
          <xdr:nvSpPr>
            <xdr:cNvPr id="1093" name="CheckBox清单排除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542925</xdr:colOff>
          <xdr:row>20</xdr:row>
          <xdr:rowOff>28575</xdr:rowOff>
        </xdr:from>
        <xdr:to>
          <xdr:col>16</xdr:col>
          <xdr:colOff>571500</xdr:colOff>
          <xdr:row>21</xdr:row>
          <xdr:rowOff>85725</xdr:rowOff>
        </xdr:to>
        <xdr:sp macro="" textlink="">
          <xdr:nvSpPr>
            <xdr:cNvPr id="1099" name="OptionButton钣金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21</xdr:row>
          <xdr:rowOff>76200</xdr:rowOff>
        </xdr:from>
        <xdr:to>
          <xdr:col>16</xdr:col>
          <xdr:colOff>495300</xdr:colOff>
          <xdr:row>22</xdr:row>
          <xdr:rowOff>123825</xdr:rowOff>
        </xdr:to>
        <xdr:sp macro="" textlink="">
          <xdr:nvSpPr>
            <xdr:cNvPr id="1100" name="OptionButton机加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22</xdr:row>
          <xdr:rowOff>161925</xdr:rowOff>
        </xdr:from>
        <xdr:to>
          <xdr:col>16</xdr:col>
          <xdr:colOff>495300</xdr:colOff>
          <xdr:row>24</xdr:row>
          <xdr:rowOff>47625</xdr:rowOff>
        </xdr:to>
        <xdr:sp macro="" textlink="">
          <xdr:nvSpPr>
            <xdr:cNvPr id="1101" name="OptionButton焊件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9525</xdr:rowOff>
        </xdr:from>
        <xdr:to>
          <xdr:col>6</xdr:col>
          <xdr:colOff>66675</xdr:colOff>
          <xdr:row>16</xdr:row>
          <xdr:rowOff>95250</xdr:rowOff>
        </xdr:to>
        <xdr:sp macro="" textlink="">
          <xdr:nvSpPr>
            <xdr:cNvPr id="1103" name="CommandButton转换实体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10</xdr:row>
          <xdr:rowOff>104775</xdr:rowOff>
        </xdr:from>
        <xdr:to>
          <xdr:col>6</xdr:col>
          <xdr:colOff>104775</xdr:colOff>
          <xdr:row>11</xdr:row>
          <xdr:rowOff>133350</xdr:rowOff>
        </xdr:to>
        <xdr:sp macro="" textlink="">
          <xdr:nvSpPr>
            <xdr:cNvPr id="1106" name="CheckBox虚拟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23</xdr:row>
          <xdr:rowOff>76200</xdr:rowOff>
        </xdr:from>
        <xdr:to>
          <xdr:col>5</xdr:col>
          <xdr:colOff>190500</xdr:colOff>
          <xdr:row>25</xdr:row>
          <xdr:rowOff>0</xdr:rowOff>
        </xdr:to>
        <xdr:sp macro="" textlink="">
          <xdr:nvSpPr>
            <xdr:cNvPr id="1110" name="CommandButton处理孔标注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57150</xdr:rowOff>
        </xdr:from>
        <xdr:to>
          <xdr:col>5</xdr:col>
          <xdr:colOff>180975</xdr:colOff>
          <xdr:row>11</xdr:row>
          <xdr:rowOff>142875</xdr:rowOff>
        </xdr:to>
        <xdr:sp macro="" textlink="">
          <xdr:nvSpPr>
            <xdr:cNvPr id="1113" name="CommandButton插入新零件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28575</xdr:rowOff>
        </xdr:from>
        <xdr:to>
          <xdr:col>5</xdr:col>
          <xdr:colOff>314325</xdr:colOff>
          <xdr:row>10</xdr:row>
          <xdr:rowOff>47625</xdr:rowOff>
        </xdr:to>
        <xdr:sp macro="" textlink="">
          <xdr:nvSpPr>
            <xdr:cNvPr id="1119" name="CommandButton插入新装配体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76200</xdr:rowOff>
        </xdr:from>
        <xdr:to>
          <xdr:col>2</xdr:col>
          <xdr:colOff>295275</xdr:colOff>
          <xdr:row>14</xdr:row>
          <xdr:rowOff>66675</xdr:rowOff>
        </xdr:to>
        <xdr:sp macro="" textlink="">
          <xdr:nvSpPr>
            <xdr:cNvPr id="1129" name="CommandButton插入外部参考零件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24</xdr:row>
          <xdr:rowOff>114300</xdr:rowOff>
        </xdr:from>
        <xdr:to>
          <xdr:col>7</xdr:col>
          <xdr:colOff>152400</xdr:colOff>
          <xdr:row>26</xdr:row>
          <xdr:rowOff>38100</xdr:rowOff>
        </xdr:to>
        <xdr:sp macro="" textlink="">
          <xdr:nvSpPr>
            <xdr:cNvPr id="1133" name="CommandButton阵列标注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142875</xdr:rowOff>
        </xdr:from>
        <xdr:to>
          <xdr:col>1</xdr:col>
          <xdr:colOff>647700</xdr:colOff>
          <xdr:row>16</xdr:row>
          <xdr:rowOff>57150</xdr:rowOff>
        </xdr:to>
        <xdr:sp macro="" textlink="">
          <xdr:nvSpPr>
            <xdr:cNvPr id="1137" name="CommandButton打开加配置名工程图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314325</xdr:colOff>
          <xdr:row>16</xdr:row>
          <xdr:rowOff>66675</xdr:rowOff>
        </xdr:to>
        <xdr:sp macro="" textlink="">
          <xdr:nvSpPr>
            <xdr:cNvPr id="1138" name="CheckBox实体所有边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12</xdr:row>
          <xdr:rowOff>133350</xdr:rowOff>
        </xdr:from>
        <xdr:to>
          <xdr:col>3</xdr:col>
          <xdr:colOff>114300</xdr:colOff>
          <xdr:row>13</xdr:row>
          <xdr:rowOff>95250</xdr:rowOff>
        </xdr:to>
        <xdr:sp macro="" textlink="">
          <xdr:nvSpPr>
            <xdr:cNvPr id="1140" name="CheckBox坐标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15</xdr:row>
          <xdr:rowOff>38100</xdr:rowOff>
        </xdr:from>
        <xdr:to>
          <xdr:col>7</xdr:col>
          <xdr:colOff>66675</xdr:colOff>
          <xdr:row>16</xdr:row>
          <xdr:rowOff>76200</xdr:rowOff>
        </xdr:to>
        <xdr:sp macro="" textlink="">
          <xdr:nvSpPr>
            <xdr:cNvPr id="1142" name="CheckBox2d草图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190500</xdr:rowOff>
        </xdr:from>
        <xdr:to>
          <xdr:col>0</xdr:col>
          <xdr:colOff>485775</xdr:colOff>
          <xdr:row>18</xdr:row>
          <xdr:rowOff>85725</xdr:rowOff>
        </xdr:to>
        <xdr:sp macro="" textlink="">
          <xdr:nvSpPr>
            <xdr:cNvPr id="1144" name="CommandButton锁定外部参考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17</xdr:row>
          <xdr:rowOff>190500</xdr:rowOff>
        </xdr:from>
        <xdr:to>
          <xdr:col>1</xdr:col>
          <xdr:colOff>133350</xdr:colOff>
          <xdr:row>18</xdr:row>
          <xdr:rowOff>95250</xdr:rowOff>
        </xdr:to>
        <xdr:sp macro="" textlink="">
          <xdr:nvSpPr>
            <xdr:cNvPr id="1145" name="CommandButton解锁外部参考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0</xdr:rowOff>
        </xdr:from>
        <xdr:to>
          <xdr:col>6</xdr:col>
          <xdr:colOff>390525</xdr:colOff>
          <xdr:row>4</xdr:row>
          <xdr:rowOff>57150</xdr:rowOff>
        </xdr:to>
        <xdr:sp macro="" textlink="">
          <xdr:nvSpPr>
            <xdr:cNvPr id="1153" name="CommandButton2切换主从尺寸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581025</xdr:colOff>
          <xdr:row>1</xdr:row>
          <xdr:rowOff>361950</xdr:rowOff>
        </xdr:to>
        <xdr:sp macro="" textlink="">
          <xdr:nvSpPr>
            <xdr:cNvPr id="1158" name="CommandButton2矩形四点孔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295275</xdr:rowOff>
        </xdr:from>
        <xdr:to>
          <xdr:col>3</xdr:col>
          <xdr:colOff>600075</xdr:colOff>
          <xdr:row>1</xdr:row>
          <xdr:rowOff>247650</xdr:rowOff>
        </xdr:to>
        <xdr:sp macro="" textlink="">
          <xdr:nvSpPr>
            <xdr:cNvPr id="1178" name="CommandButton2两点孔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19</xdr:row>
          <xdr:rowOff>171450</xdr:rowOff>
        </xdr:from>
        <xdr:to>
          <xdr:col>12</xdr:col>
          <xdr:colOff>323850</xdr:colOff>
          <xdr:row>21</xdr:row>
          <xdr:rowOff>19050</xdr:rowOff>
        </xdr:to>
        <xdr:sp macro="" textlink="">
          <xdr:nvSpPr>
            <xdr:cNvPr id="1180" name="CheckBox1改绘图标准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790575</xdr:colOff>
          <xdr:row>5</xdr:row>
          <xdr:rowOff>66675</xdr:rowOff>
        </xdr:from>
        <xdr:to>
          <xdr:col>2</xdr:col>
          <xdr:colOff>9525</xdr:colOff>
          <xdr:row>6</xdr:row>
          <xdr:rowOff>257175</xdr:rowOff>
        </xdr:to>
        <xdr:sp macro="" textlink="">
          <xdr:nvSpPr>
            <xdr:cNvPr id="1182" name="CommandButton模型设置标准化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47625</xdr:rowOff>
        </xdr:from>
        <xdr:to>
          <xdr:col>3</xdr:col>
          <xdr:colOff>485775</xdr:colOff>
          <xdr:row>4</xdr:row>
          <xdr:rowOff>276225</xdr:rowOff>
        </xdr:to>
        <xdr:sp macro="" textlink="">
          <xdr:nvSpPr>
            <xdr:cNvPr id="1235" name="CheckBox1加方程式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4</xdr:row>
          <xdr:rowOff>38100</xdr:rowOff>
        </xdr:from>
        <xdr:to>
          <xdr:col>2</xdr:col>
          <xdr:colOff>504825</xdr:colOff>
          <xdr:row>4</xdr:row>
          <xdr:rowOff>276225</xdr:rowOff>
        </xdr:to>
        <xdr:sp macro="" textlink="">
          <xdr:nvSpPr>
            <xdr:cNvPr id="1236" name="OptionButton单排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</xdr:row>
          <xdr:rowOff>38100</xdr:rowOff>
        </xdr:from>
        <xdr:to>
          <xdr:col>1</xdr:col>
          <xdr:colOff>628650</xdr:colOff>
          <xdr:row>4</xdr:row>
          <xdr:rowOff>257175</xdr:rowOff>
        </xdr:to>
        <xdr:sp macro="" textlink="">
          <xdr:nvSpPr>
            <xdr:cNvPr id="1237" name="OptionButton2双排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1</xdr:col>
          <xdr:colOff>28575</xdr:colOff>
          <xdr:row>3</xdr:row>
          <xdr:rowOff>142875</xdr:rowOff>
        </xdr:to>
        <xdr:sp macro="" textlink="">
          <xdr:nvSpPr>
            <xdr:cNvPr id="1240" name="CommandButton点阵列草图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38100</xdr:rowOff>
        </xdr:from>
        <xdr:to>
          <xdr:col>0</xdr:col>
          <xdr:colOff>457200</xdr:colOff>
          <xdr:row>4</xdr:row>
          <xdr:rowOff>295275</xdr:rowOff>
        </xdr:to>
        <xdr:sp macro="" textlink="">
          <xdr:nvSpPr>
            <xdr:cNvPr id="1241" name="CommandButton2点阵列草图孔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247" name="Drop Down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0</xdr:rowOff>
        </xdr:from>
        <xdr:to>
          <xdr:col>3</xdr:col>
          <xdr:colOff>657225</xdr:colOff>
          <xdr:row>0</xdr:row>
          <xdr:rowOff>257175</xdr:rowOff>
        </xdr:to>
        <xdr:sp macro="" textlink="">
          <xdr:nvSpPr>
            <xdr:cNvPr id="1256" name="CommandButton直线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2</xdr:row>
          <xdr:rowOff>19050</xdr:rowOff>
        </xdr:from>
        <xdr:to>
          <xdr:col>4</xdr:col>
          <xdr:colOff>647700</xdr:colOff>
          <xdr:row>3</xdr:row>
          <xdr:rowOff>85725</xdr:rowOff>
        </xdr:to>
        <xdr:sp macro="" textlink="">
          <xdr:nvSpPr>
            <xdr:cNvPr id="1276" name="OptionButton求间距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66675</xdr:rowOff>
        </xdr:from>
        <xdr:to>
          <xdr:col>4</xdr:col>
          <xdr:colOff>647700</xdr:colOff>
          <xdr:row>4</xdr:row>
          <xdr:rowOff>133350</xdr:rowOff>
        </xdr:to>
        <xdr:sp macro="" textlink="">
          <xdr:nvSpPr>
            <xdr:cNvPr id="1278" name="OptionButton求总长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4</xdr:row>
          <xdr:rowOff>95250</xdr:rowOff>
        </xdr:from>
        <xdr:to>
          <xdr:col>4</xdr:col>
          <xdr:colOff>657225</xdr:colOff>
          <xdr:row>4</xdr:row>
          <xdr:rowOff>333375</xdr:rowOff>
        </xdr:to>
        <xdr:sp macro="" textlink="">
          <xdr:nvSpPr>
            <xdr:cNvPr id="1279" name="OptionButton求数量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0</xdr:row>
          <xdr:rowOff>0</xdr:rowOff>
        </xdr:from>
        <xdr:to>
          <xdr:col>15</xdr:col>
          <xdr:colOff>266700</xdr:colOff>
          <xdr:row>2</xdr:row>
          <xdr:rowOff>28575</xdr:rowOff>
        </xdr:to>
        <xdr:sp macro="" textlink="">
          <xdr:nvSpPr>
            <xdr:cNvPr id="1280" name="CommandButton加台阶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361950</xdr:colOff>
          <xdr:row>1</xdr:row>
          <xdr:rowOff>285750</xdr:rowOff>
        </xdr:to>
        <xdr:sp macro="" textlink="">
          <xdr:nvSpPr>
            <xdr:cNvPr id="1281" name="CommandButton矩形板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152400</xdr:rowOff>
        </xdr:from>
        <xdr:to>
          <xdr:col>5</xdr:col>
          <xdr:colOff>581025</xdr:colOff>
          <xdr:row>4</xdr:row>
          <xdr:rowOff>47625</xdr:rowOff>
        </xdr:to>
        <xdr:sp macro="" textlink="">
          <xdr:nvSpPr>
            <xdr:cNvPr id="1293" name="OptionButton通孔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28575</xdr:rowOff>
        </xdr:from>
        <xdr:to>
          <xdr:col>5</xdr:col>
          <xdr:colOff>561975</xdr:colOff>
          <xdr:row>4</xdr:row>
          <xdr:rowOff>266700</xdr:rowOff>
        </xdr:to>
        <xdr:sp macro="" textlink="">
          <xdr:nvSpPr>
            <xdr:cNvPr id="1294" name="OptionButton螺孔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9525</xdr:rowOff>
        </xdr:from>
        <xdr:to>
          <xdr:col>9</xdr:col>
          <xdr:colOff>76200</xdr:colOff>
          <xdr:row>1</xdr:row>
          <xdr:rowOff>285750</xdr:rowOff>
        </xdr:to>
        <xdr:sp macro="" textlink="">
          <xdr:nvSpPr>
            <xdr:cNvPr id="1295" name="CommandButton平键轴槽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333375</xdr:rowOff>
        </xdr:from>
        <xdr:to>
          <xdr:col>9</xdr:col>
          <xdr:colOff>95250</xdr:colOff>
          <xdr:row>3</xdr:row>
          <xdr:rowOff>95250</xdr:rowOff>
        </xdr:to>
        <xdr:sp macro="" textlink="">
          <xdr:nvSpPr>
            <xdr:cNvPr id="1296" name="CommandButton内外卡槽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0</xdr:rowOff>
        </xdr:from>
        <xdr:to>
          <xdr:col>5</xdr:col>
          <xdr:colOff>581025</xdr:colOff>
          <xdr:row>0</xdr:row>
          <xdr:rowOff>276225</xdr:rowOff>
        </xdr:to>
        <xdr:sp macro="" textlink="">
          <xdr:nvSpPr>
            <xdr:cNvPr id="1301" name="OptionButton拖动定大小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314325</xdr:rowOff>
        </xdr:from>
        <xdr:to>
          <xdr:col>5</xdr:col>
          <xdr:colOff>495300</xdr:colOff>
          <xdr:row>1</xdr:row>
          <xdr:rowOff>152400</xdr:rowOff>
        </xdr:to>
        <xdr:sp macro="" textlink="">
          <xdr:nvSpPr>
            <xdr:cNvPr id="1302" name="OptionButton预定大小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161925</xdr:rowOff>
        </xdr:from>
        <xdr:to>
          <xdr:col>5</xdr:col>
          <xdr:colOff>542925</xdr:colOff>
          <xdr:row>2</xdr:row>
          <xdr:rowOff>47625</xdr:rowOff>
        </xdr:to>
        <xdr:sp macro="" textlink="">
          <xdr:nvSpPr>
            <xdr:cNvPr id="1303" name="OptionButton找边定距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57150</xdr:rowOff>
        </xdr:from>
        <xdr:to>
          <xdr:col>5</xdr:col>
          <xdr:colOff>676275</xdr:colOff>
          <xdr:row>8</xdr:row>
          <xdr:rowOff>152400</xdr:rowOff>
        </xdr:to>
        <xdr:sp macro="" textlink="">
          <xdr:nvSpPr>
            <xdr:cNvPr id="1306" name="CommandButton复制插入零件切割清单属性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209550</xdr:colOff>
          <xdr:row>1</xdr:row>
          <xdr:rowOff>114300</xdr:rowOff>
        </xdr:to>
        <xdr:sp macro="" textlink="">
          <xdr:nvSpPr>
            <xdr:cNvPr id="1313" name="CommandButton实体转零件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28</xdr:row>
          <xdr:rowOff>66675</xdr:rowOff>
        </xdr:from>
        <xdr:to>
          <xdr:col>12</xdr:col>
          <xdr:colOff>495300</xdr:colOff>
          <xdr:row>30</xdr:row>
          <xdr:rowOff>0</xdr:rowOff>
        </xdr:to>
        <xdr:sp macro="" textlink="">
          <xdr:nvSpPr>
            <xdr:cNvPr id="1316" name="CommandButtonN9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104775</xdr:rowOff>
        </xdr:from>
        <xdr:to>
          <xdr:col>6</xdr:col>
          <xdr:colOff>533400</xdr:colOff>
          <xdr:row>4</xdr:row>
          <xdr:rowOff>342900</xdr:rowOff>
        </xdr:to>
        <xdr:sp macro="" textlink="">
          <xdr:nvSpPr>
            <xdr:cNvPr id="1318" name="OptionButton腰孔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9</xdr:row>
          <xdr:rowOff>57150</xdr:rowOff>
        </xdr:from>
        <xdr:to>
          <xdr:col>6</xdr:col>
          <xdr:colOff>419100</xdr:colOff>
          <xdr:row>10</xdr:row>
          <xdr:rowOff>28575</xdr:rowOff>
        </xdr:to>
        <xdr:sp macro="" textlink="">
          <xdr:nvSpPr>
            <xdr:cNvPr id="1322" name="CheckBox重合原点2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57150</xdr:rowOff>
        </xdr:from>
        <xdr:to>
          <xdr:col>16</xdr:col>
          <xdr:colOff>85725</xdr:colOff>
          <xdr:row>11</xdr:row>
          <xdr:rowOff>133350</xdr:rowOff>
        </xdr:to>
        <xdr:sp macro="" textlink="">
          <xdr:nvSpPr>
            <xdr:cNvPr id="1324" name="CommandButton1按草图建阵列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0</xdr:rowOff>
        </xdr:from>
        <xdr:to>
          <xdr:col>1</xdr:col>
          <xdr:colOff>609600</xdr:colOff>
          <xdr:row>0</xdr:row>
          <xdr:rowOff>200025</xdr:rowOff>
        </xdr:to>
        <xdr:sp macro="" textlink="">
          <xdr:nvSpPr>
            <xdr:cNvPr id="1325" name="CheckBox1从动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0</xdr:rowOff>
        </xdr:from>
        <xdr:to>
          <xdr:col>2</xdr:col>
          <xdr:colOff>419100</xdr:colOff>
          <xdr:row>0</xdr:row>
          <xdr:rowOff>161925</xdr:rowOff>
        </xdr:to>
        <xdr:sp macro="" textlink="">
          <xdr:nvSpPr>
            <xdr:cNvPr id="1326" name="CheckBox1加点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28</xdr:row>
          <xdr:rowOff>76200</xdr:rowOff>
        </xdr:from>
        <xdr:to>
          <xdr:col>6</xdr:col>
          <xdr:colOff>638175</xdr:colOff>
          <xdr:row>29</xdr:row>
          <xdr:rowOff>142875</xdr:rowOff>
        </xdr:to>
        <xdr:sp macro="" textlink="">
          <xdr:nvSpPr>
            <xdr:cNvPr id="1328" name="CommandButton1规格填往属性excel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38100</xdr:rowOff>
        </xdr:from>
        <xdr:to>
          <xdr:col>8</xdr:col>
          <xdr:colOff>438150</xdr:colOff>
          <xdr:row>6</xdr:row>
          <xdr:rowOff>228600</xdr:rowOff>
        </xdr:to>
        <xdr:sp macro="" textlink="">
          <xdr:nvSpPr>
            <xdr:cNvPr id="1330" name="CommandButton1同步改名工程图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24</xdr:row>
          <xdr:rowOff>57150</xdr:rowOff>
        </xdr:from>
        <xdr:to>
          <xdr:col>3</xdr:col>
          <xdr:colOff>161925</xdr:colOff>
          <xdr:row>25</xdr:row>
          <xdr:rowOff>142875</xdr:rowOff>
        </xdr:to>
        <xdr:sp macro="" textlink="">
          <xdr:nvSpPr>
            <xdr:cNvPr id="1331" name="CommandButton字体宽高比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0</xdr:rowOff>
        </xdr:from>
        <xdr:to>
          <xdr:col>9</xdr:col>
          <xdr:colOff>28575</xdr:colOff>
          <xdr:row>0</xdr:row>
          <xdr:rowOff>276225</xdr:rowOff>
        </xdr:to>
        <xdr:sp macro="" textlink="">
          <xdr:nvSpPr>
            <xdr:cNvPr id="1333" name="CommandButton矩形板_库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314325</xdr:colOff>
          <xdr:row>0</xdr:row>
          <xdr:rowOff>0</xdr:rowOff>
        </xdr:from>
        <xdr:to>
          <xdr:col>17</xdr:col>
          <xdr:colOff>647700</xdr:colOff>
          <xdr:row>2</xdr:row>
          <xdr:rowOff>76200</xdr:rowOff>
        </xdr:to>
        <xdr:sp macro="" textlink="">
          <xdr:nvSpPr>
            <xdr:cNvPr id="1334" name="CommandButton取消监控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0</xdr:row>
          <xdr:rowOff>0</xdr:rowOff>
        </xdr:from>
        <xdr:to>
          <xdr:col>14</xdr:col>
          <xdr:colOff>457200</xdr:colOff>
          <xdr:row>0</xdr:row>
          <xdr:rowOff>219075</xdr:rowOff>
        </xdr:to>
        <xdr:sp macro="" textlink="">
          <xdr:nvSpPr>
            <xdr:cNvPr id="1335" name="CheckBox持续监控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0</xdr:rowOff>
        </xdr:from>
        <xdr:to>
          <xdr:col>6</xdr:col>
          <xdr:colOff>923925</xdr:colOff>
          <xdr:row>1</xdr:row>
          <xdr:rowOff>85725</xdr:rowOff>
        </xdr:to>
        <xdr:sp macro="" textlink="">
          <xdr:nvSpPr>
            <xdr:cNvPr id="2049" name="CommandButton列出文件夹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</xdr:row>
          <xdr:rowOff>152400</xdr:rowOff>
        </xdr:from>
        <xdr:to>
          <xdr:col>7</xdr:col>
          <xdr:colOff>76200</xdr:colOff>
          <xdr:row>3</xdr:row>
          <xdr:rowOff>0</xdr:rowOff>
        </xdr:to>
        <xdr:sp macro="" textlink="">
          <xdr:nvSpPr>
            <xdr:cNvPr id="2050" name="CheckBox搜索子文件夹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57150</xdr:rowOff>
        </xdr:from>
        <xdr:to>
          <xdr:col>6</xdr:col>
          <xdr:colOff>914400</xdr:colOff>
          <xdr:row>4</xdr:row>
          <xdr:rowOff>95250</xdr:rowOff>
        </xdr:to>
        <xdr:sp macro="" textlink="">
          <xdr:nvSpPr>
            <xdr:cNvPr id="2051" name="CommandButton添加到sw搜索路径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image" Target="../media/image73.emf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51" Type="http://schemas.openxmlformats.org/officeDocument/2006/relationships/image" Target="../media/image74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ontrol" Target="../activeX/activeX72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52" Type="http://schemas.openxmlformats.org/officeDocument/2006/relationships/ctrlProp" Target="../ctrlProps/ctrlProp1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comments" Target="../comments1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48" Type="http://schemas.openxmlformats.org/officeDocument/2006/relationships/control" Target="../activeX/activeX7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90" Type="http://schemas.openxmlformats.org/officeDocument/2006/relationships/control" Target="../activeX/activeX4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6.emf"/><Relationship Id="rId5" Type="http://schemas.openxmlformats.org/officeDocument/2006/relationships/control" Target="../activeX/activeX76.xml"/><Relationship Id="rId4" Type="http://schemas.openxmlformats.org/officeDocument/2006/relationships/image" Target="../media/image7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4"/>
  <sheetViews>
    <sheetView tabSelected="1" zoomScale="130" zoomScaleNormal="130" workbookViewId="0">
      <selection activeCell="B11" sqref="B11"/>
    </sheetView>
  </sheetViews>
  <sheetFormatPr defaultColWidth="9" defaultRowHeight="13.5" x14ac:dyDescent="0.15"/>
  <cols>
    <col min="1" max="1" width="11" customWidth="1"/>
    <col min="2" max="2" width="9" customWidth="1"/>
  </cols>
  <sheetData>
    <row r="1" spans="1:14" s="17" customFormat="1" ht="24" customHeight="1" x14ac:dyDescent="0.15">
      <c r="A1" s="21"/>
      <c r="B1" s="53" t="s">
        <v>0</v>
      </c>
      <c r="C1" s="54" t="s">
        <v>1</v>
      </c>
      <c r="D1" s="8"/>
    </row>
    <row r="2" spans="1:14" ht="27" customHeight="1" x14ac:dyDescent="0.15">
      <c r="A2" s="23"/>
      <c r="B2" s="24">
        <v>99</v>
      </c>
      <c r="C2" s="25">
        <v>122</v>
      </c>
      <c r="D2" s="3"/>
    </row>
    <row r="3" spans="1:14" x14ac:dyDescent="0.15">
      <c r="A3" s="21"/>
      <c r="B3" s="22" t="s">
        <v>2</v>
      </c>
      <c r="C3" s="22" t="s">
        <v>3</v>
      </c>
      <c r="D3" s="26"/>
      <c r="E3" s="27"/>
    </row>
    <row r="4" spans="1:14" x14ac:dyDescent="0.15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 x14ac:dyDescent="0.2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 x14ac:dyDescent="0.15">
      <c r="A6" s="30" t="s">
        <v>4</v>
      </c>
      <c r="C6" s="31" t="s">
        <v>5</v>
      </c>
      <c r="D6" s="61" t="s">
        <v>6</v>
      </c>
      <c r="M6" s="31" t="s">
        <v>11</v>
      </c>
      <c r="N6" s="44" t="s">
        <v>12</v>
      </c>
    </row>
    <row r="7" spans="1:14" ht="30" customHeight="1" x14ac:dyDescent="0.15">
      <c r="A7" s="33" t="s">
        <v>13</v>
      </c>
      <c r="C7" s="34" t="s">
        <v>14</v>
      </c>
      <c r="D7" s="62"/>
      <c r="M7" s="12" t="s">
        <v>161</v>
      </c>
      <c r="N7" s="45" t="s">
        <v>19</v>
      </c>
    </row>
    <row r="8" spans="1:14" x14ac:dyDescent="0.15">
      <c r="B8" s="3"/>
      <c r="C8" s="3"/>
      <c r="J8">
        <f>3325/3</f>
        <v>1108.3333333333333</v>
      </c>
    </row>
    <row r="9" spans="1:14" ht="14.25" thickBot="1" x14ac:dyDescent="0.2">
      <c r="B9" s="3"/>
      <c r="C9" s="3"/>
      <c r="N9" s="14"/>
    </row>
    <row r="10" spans="1:14" s="19" customFormat="1" ht="18.75" customHeight="1" thickTop="1" x14ac:dyDescent="0.15">
      <c r="A10" s="36" t="s">
        <v>27</v>
      </c>
      <c r="B10" s="36" t="s">
        <v>28</v>
      </c>
      <c r="C10" s="63" t="s">
        <v>29</v>
      </c>
      <c r="D10" s="63"/>
      <c r="J10" s="35" t="s">
        <v>30</v>
      </c>
      <c r="K10" s="35" t="s">
        <v>31</v>
      </c>
      <c r="L10" s="35" t="s">
        <v>32</v>
      </c>
      <c r="M10" s="35" t="s">
        <v>33</v>
      </c>
      <c r="N10" s="46" t="s">
        <v>34</v>
      </c>
    </row>
    <row r="11" spans="1:14" x14ac:dyDescent="0.15">
      <c r="A11" s="5" t="s">
        <v>188</v>
      </c>
      <c r="B11" s="52" t="s">
        <v>189</v>
      </c>
      <c r="C11" s="59" t="s">
        <v>190</v>
      </c>
      <c r="D11" s="59"/>
      <c r="J11" s="15" t="s">
        <v>162</v>
      </c>
      <c r="K11" s="15" t="s">
        <v>163</v>
      </c>
      <c r="L11" s="15" t="s">
        <v>164</v>
      </c>
      <c r="M11" s="47" t="s">
        <v>165</v>
      </c>
      <c r="N11" s="47"/>
    </row>
    <row r="12" spans="1:14" ht="14.25" thickBot="1" x14ac:dyDescent="0.2">
      <c r="A12" t="s">
        <v>35</v>
      </c>
      <c r="B12" s="58" t="s">
        <v>185</v>
      </c>
      <c r="J12" s="51">
        <v>12779</v>
      </c>
      <c r="K12" s="50">
        <v>1419.8888888888889</v>
      </c>
      <c r="L12" s="50">
        <v>1419.8888888888889</v>
      </c>
      <c r="M12" s="51">
        <v>8</v>
      </c>
    </row>
    <row r="13" spans="1:14" s="19" customFormat="1" ht="18.75" customHeight="1" x14ac:dyDescent="0.15">
      <c r="A13" s="36"/>
    </row>
    <row r="18" spans="1:19" ht="27.75" customHeight="1" x14ac:dyDescent="0.15">
      <c r="A18" s="37" t="s">
        <v>36</v>
      </c>
    </row>
    <row r="21" spans="1:19" s="19" customFormat="1" x14ac:dyDescent="0.15">
      <c r="A21" s="64" t="s">
        <v>37</v>
      </c>
      <c r="B21" s="64"/>
      <c r="C21" s="64"/>
      <c r="D21" s="64" t="s">
        <v>38</v>
      </c>
      <c r="E21" s="64"/>
      <c r="F21" s="38" t="str">
        <f>HYPERLINK(G21,"→")</f>
        <v>→</v>
      </c>
      <c r="G21" s="39" t="s">
        <v>39</v>
      </c>
      <c r="K21" s="48" t="s">
        <v>40</v>
      </c>
    </row>
    <row r="22" spans="1:19" x14ac:dyDescent="0.15">
      <c r="A22" s="59" t="s">
        <v>186</v>
      </c>
      <c r="B22" s="59"/>
      <c r="C22" s="59"/>
      <c r="D22" s="60" t="s">
        <v>187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 x14ac:dyDescent="0.15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 x14ac:dyDescent="0.15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 x14ac:dyDescent="0.15">
      <c r="A25" s="14"/>
      <c r="G25" s="14"/>
    </row>
    <row r="26" spans="1:19" x14ac:dyDescent="0.15">
      <c r="A26" s="14"/>
      <c r="E26" s="5" t="s">
        <v>44</v>
      </c>
      <c r="F26" s="40"/>
      <c r="G26" s="41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49" t="s">
        <v>50</v>
      </c>
      <c r="S26" s="5" t="s">
        <v>51</v>
      </c>
    </row>
    <row r="27" spans="1:19" x14ac:dyDescent="0.15">
      <c r="A27" s="40" t="s">
        <v>52</v>
      </c>
      <c r="B27" s="41" t="s">
        <v>52</v>
      </c>
      <c r="F27" s="40"/>
      <c r="G27" s="41"/>
      <c r="I27" s="15" t="s">
        <v>184</v>
      </c>
      <c r="J27" s="15" t="s">
        <v>53</v>
      </c>
      <c r="K27" s="15" t="s">
        <v>54</v>
      </c>
      <c r="L27" s="15" t="s">
        <v>55</v>
      </c>
      <c r="M27" s="15" t="s">
        <v>56</v>
      </c>
    </row>
    <row r="28" spans="1:19" s="19" customFormat="1" ht="15" thickTop="1" thickBot="1" x14ac:dyDescent="0.2">
      <c r="B28" s="42"/>
      <c r="C28" s="42"/>
      <c r="D28" s="42"/>
      <c r="E28" s="42"/>
      <c r="F28" s="42"/>
    </row>
    <row r="29" spans="1:19" s="6" customFormat="1" ht="14.25" thickTop="1" x14ac:dyDescent="0.15">
      <c r="A29" s="32" t="s">
        <v>7</v>
      </c>
      <c r="B29" s="32" t="s">
        <v>8</v>
      </c>
      <c r="C29" s="32" t="s">
        <v>9</v>
      </c>
      <c r="D29" s="43" t="s">
        <v>175</v>
      </c>
      <c r="E29" s="43" t="s">
        <v>10</v>
      </c>
    </row>
    <row r="30" spans="1:19" x14ac:dyDescent="0.15">
      <c r="A30" s="15" t="s">
        <v>182</v>
      </c>
      <c r="B30" s="15" t="s">
        <v>176</v>
      </c>
      <c r="C30" s="15" t="s">
        <v>177</v>
      </c>
      <c r="D30" s="16" t="s">
        <v>18</v>
      </c>
    </row>
    <row r="31" spans="1:19" x14ac:dyDescent="0.15">
      <c r="A31" s="35" t="s">
        <v>20</v>
      </c>
      <c r="B31" s="35" t="s">
        <v>21</v>
      </c>
      <c r="C31" s="35" t="s">
        <v>22</v>
      </c>
      <c r="D31" s="46" t="s">
        <v>23</v>
      </c>
      <c r="F31" s="35" t="s">
        <v>180</v>
      </c>
      <c r="G31" s="35" t="s">
        <v>179</v>
      </c>
      <c r="H31" s="35" t="s">
        <v>168</v>
      </c>
    </row>
    <row r="32" spans="1:19" s="20" customFormat="1" ht="14.25" x14ac:dyDescent="0.15">
      <c r="A32" s="15" t="s">
        <v>173</v>
      </c>
      <c r="B32" s="15" t="s">
        <v>171</v>
      </c>
      <c r="C32" s="15" t="s">
        <v>172</v>
      </c>
      <c r="D32" s="16" t="s">
        <v>18</v>
      </c>
      <c r="E32"/>
      <c r="F32" s="15" t="s">
        <v>181</v>
      </c>
      <c r="G32" s="15" t="s">
        <v>183</v>
      </c>
      <c r="H32" s="56" t="s">
        <v>174</v>
      </c>
      <c r="M32"/>
    </row>
    <row r="33" spans="1:13" s="55" customFormat="1" x14ac:dyDescent="0.15">
      <c r="A33" s="35" t="s">
        <v>166</v>
      </c>
      <c r="B33" s="35" t="s">
        <v>167</v>
      </c>
      <c r="D33" s="46"/>
      <c r="G33" s="57" t="s">
        <v>178</v>
      </c>
    </row>
    <row r="34" spans="1:13" s="20" customFormat="1" ht="14.25" x14ac:dyDescent="0.15">
      <c r="A34" s="15" t="s">
        <v>170</v>
      </c>
      <c r="B34" s="15" t="s">
        <v>169</v>
      </c>
      <c r="D34" s="16"/>
      <c r="E34" s="55"/>
      <c r="M34" s="55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5" r:id="rId4" name="CheckBox持续监控">
          <controlPr defaultSize="0" altText="" r:id="rId5">
            <anchor moveWithCells="1">
              <from>
                <xdr:col>13</xdr:col>
                <xdr:colOff>323850</xdr:colOff>
                <xdr:row>0</xdr:row>
                <xdr:rowOff>0</xdr:rowOff>
              </from>
              <to>
                <xdr:col>14</xdr:col>
                <xdr:colOff>457200</xdr:colOff>
                <xdr:row>0</xdr:row>
                <xdr:rowOff>219075</xdr:rowOff>
              </to>
            </anchor>
          </controlPr>
        </control>
      </mc:Choice>
      <mc:Fallback>
        <control shapeId="1335" r:id="rId4" name="CheckBox持续监控"/>
      </mc:Fallback>
    </mc:AlternateContent>
    <mc:AlternateContent xmlns:mc="http://schemas.openxmlformats.org/markup-compatibility/2006">
      <mc:Choice Requires="x14">
        <control shapeId="1334" r:id="rId6" name="CommandButton取消监控">
          <controlPr defaultSize="0" autoPict="0" altText="" r:id="rId7">
            <anchor moveWithCells="1">
              <from>
                <xdr:col>17</xdr:col>
                <xdr:colOff>314325</xdr:colOff>
                <xdr:row>0</xdr:row>
                <xdr:rowOff>0</xdr:rowOff>
              </from>
              <to>
                <xdr:col>17</xdr:col>
                <xdr:colOff>647700</xdr:colOff>
                <xdr:row>2</xdr:row>
                <xdr:rowOff>76200</xdr:rowOff>
              </to>
            </anchor>
          </controlPr>
        </control>
      </mc:Choice>
      <mc:Fallback>
        <control shapeId="1334" r:id="rId6" name="CommandButton取消监控"/>
      </mc:Fallback>
    </mc:AlternateContent>
    <mc:AlternateContent xmlns:mc="http://schemas.openxmlformats.org/markup-compatibility/2006">
      <mc:Choice Requires="x14">
        <control shapeId="1330" r:id="rId8" name="CommandButton1同步改名工程图">
          <controlPr defaultSize="0" autoPict="0" altText="" r:id="rId9">
            <anchor moveWithCells="1">
              <from>
                <xdr:col>7</xdr:col>
                <xdr:colOff>409575</xdr:colOff>
                <xdr:row>5</xdr:row>
                <xdr:rowOff>38100</xdr:rowOff>
              </from>
              <to>
                <xdr:col>8</xdr:col>
                <xdr:colOff>438150</xdr:colOff>
                <xdr:row>6</xdr:row>
                <xdr:rowOff>228600</xdr:rowOff>
              </to>
            </anchor>
          </controlPr>
        </control>
      </mc:Choice>
      <mc:Fallback>
        <control shapeId="1330" r:id="rId8" name="CommandButton1同步改名工程图"/>
      </mc:Fallback>
    </mc:AlternateContent>
    <mc:AlternateContent xmlns:mc="http://schemas.openxmlformats.org/markup-compatibility/2006">
      <mc:Choice Requires="x14">
        <control shapeId="1318" r:id="rId10" name="OptionButton腰孔">
          <controlPr defaultSize="0" autoPict="0" altText="" r:id="rId11">
            <anchor moveWithCells="1">
              <from>
                <xdr:col>6</xdr:col>
                <xdr:colOff>28575</xdr:colOff>
                <xdr:row>4</xdr:row>
                <xdr:rowOff>104775</xdr:rowOff>
              </from>
              <to>
                <xdr:col>6</xdr:col>
                <xdr:colOff>533400</xdr:colOff>
                <xdr:row>4</xdr:row>
                <xdr:rowOff>342900</xdr:rowOff>
              </to>
            </anchor>
          </controlPr>
        </control>
      </mc:Choice>
      <mc:Fallback>
        <control shapeId="1318" r:id="rId10" name="OptionButton腰孔"/>
      </mc:Fallback>
    </mc:AlternateContent>
    <mc:AlternateContent xmlns:mc="http://schemas.openxmlformats.org/markup-compatibility/2006">
      <mc:Choice Requires="x14">
        <control shapeId="1316" r:id="rId12" name="CommandButtonN9">
          <controlPr defaultSize="0" autoPict="0" altText="" r:id="rId13">
            <anchor moveWithCells="1">
              <from>
                <xdr:col>11</xdr:col>
                <xdr:colOff>152400</xdr:colOff>
                <xdr:row>28</xdr:row>
                <xdr:rowOff>66675</xdr:rowOff>
              </from>
              <to>
                <xdr:col>12</xdr:col>
                <xdr:colOff>495300</xdr:colOff>
                <xdr:row>30</xdr:row>
                <xdr:rowOff>0</xdr:rowOff>
              </to>
            </anchor>
          </controlPr>
        </control>
      </mc:Choice>
      <mc:Fallback>
        <control shapeId="1316" r:id="rId12" name="CommandButtonN9"/>
      </mc:Fallback>
    </mc:AlternateContent>
    <mc:AlternateContent xmlns:mc="http://schemas.openxmlformats.org/markup-compatibility/2006">
      <mc:Choice Requires="x14">
        <control shapeId="1313" r:id="rId14" name="CommandButton实体转零件">
          <controlPr defaultSize="0" altText="" r:id="rId15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11</xdr:col>
                <xdr:colOff>209550</xdr:colOff>
                <xdr:row>1</xdr:row>
                <xdr:rowOff>114300</xdr:rowOff>
              </to>
            </anchor>
          </controlPr>
        </control>
      </mc:Choice>
      <mc:Fallback>
        <control shapeId="1313" r:id="rId14" name="CommandButton实体转零件"/>
      </mc:Fallback>
    </mc:AlternateContent>
    <mc:AlternateContent xmlns:mc="http://schemas.openxmlformats.org/markup-compatibility/2006">
      <mc:Choice Requires="x14">
        <control shapeId="1306" r:id="rId16" name="CommandButton复制插入零件切割清单属性">
          <controlPr defaultSize="0" autoPict="0" altText="" r:id="rId17">
            <anchor moveWithCells="1">
              <from>
                <xdr:col>4</xdr:col>
                <xdr:colOff>666750</xdr:colOff>
                <xdr:row>5</xdr:row>
                <xdr:rowOff>57150</xdr:rowOff>
              </from>
              <to>
                <xdr:col>5</xdr:col>
                <xdr:colOff>676275</xdr:colOff>
                <xdr:row>8</xdr:row>
                <xdr:rowOff>152400</xdr:rowOff>
              </to>
            </anchor>
          </controlPr>
        </control>
      </mc:Choice>
      <mc:Fallback>
        <control shapeId="1306" r:id="rId16" name="CommandButton复制插入零件切割清单属性"/>
      </mc:Fallback>
    </mc:AlternateContent>
    <mc:AlternateContent xmlns:mc="http://schemas.openxmlformats.org/markup-compatibility/2006">
      <mc:Choice Requires="x14">
        <control shapeId="1303" r:id="rId18" name="OptionButton找边定距">
          <controlPr defaultSize="0" autoPict="0" altText="" r:id="rId19">
            <anchor moveWithCells="1">
              <from>
                <xdr:col>4</xdr:col>
                <xdr:colOff>514350</xdr:colOff>
                <xdr:row>1</xdr:row>
                <xdr:rowOff>161925</xdr:rowOff>
              </from>
              <to>
                <xdr:col>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1303" r:id="rId18" name="OptionButton找边定距"/>
      </mc:Fallback>
    </mc:AlternateContent>
    <mc:AlternateContent xmlns:mc="http://schemas.openxmlformats.org/markup-compatibility/2006">
      <mc:Choice Requires="x14">
        <control shapeId="1302" r:id="rId20" name="OptionButton预定大小">
          <controlPr defaultSize="0" autoPict="0" altText="" r:id="rId21">
            <anchor moveWithCells="1">
              <from>
                <xdr:col>4</xdr:col>
                <xdr:colOff>447675</xdr:colOff>
                <xdr:row>0</xdr:row>
                <xdr:rowOff>314325</xdr:rowOff>
              </from>
              <to>
                <xdr:col>5</xdr:col>
                <xdr:colOff>495300</xdr:colOff>
                <xdr:row>1</xdr:row>
                <xdr:rowOff>152400</xdr:rowOff>
              </to>
            </anchor>
          </controlPr>
        </control>
      </mc:Choice>
      <mc:Fallback>
        <control shapeId="1302" r:id="rId20" name="OptionButton预定大小"/>
      </mc:Fallback>
    </mc:AlternateContent>
    <mc:AlternateContent xmlns:mc="http://schemas.openxmlformats.org/markup-compatibility/2006">
      <mc:Choice Requires="x14">
        <control shapeId="1301" r:id="rId22" name="OptionButton拖动定大小">
          <controlPr defaultSize="0" autoPict="0" altText="" r:id="rId23">
            <anchor moveWithCells="1">
              <from>
                <xdr:col>4</xdr:col>
                <xdr:colOff>428625</xdr:colOff>
                <xdr:row>0</xdr:row>
                <xdr:rowOff>0</xdr:rowOff>
              </from>
              <to>
                <xdr:col>5</xdr:col>
                <xdr:colOff>581025</xdr:colOff>
                <xdr:row>0</xdr:row>
                <xdr:rowOff>276225</xdr:rowOff>
              </to>
            </anchor>
          </controlPr>
        </control>
      </mc:Choice>
      <mc:Fallback>
        <control shapeId="1301" r:id="rId22" name="OptionButton拖动定大小"/>
      </mc:Fallback>
    </mc:AlternateContent>
    <mc:AlternateContent xmlns:mc="http://schemas.openxmlformats.org/markup-compatibility/2006">
      <mc:Choice Requires="x14">
        <control shapeId="1296" r:id="rId24" name="CommandButton内外卡槽">
          <controlPr defaultSize="0" altText="" r:id="rId25">
            <anchor moveWithCells="1">
              <from>
                <xdr:col>8</xdr:col>
                <xdr:colOff>57150</xdr:colOff>
                <xdr:row>1</xdr:row>
                <xdr:rowOff>333375</xdr:rowOff>
              </from>
              <to>
                <xdr:col>9</xdr:col>
                <xdr:colOff>95250</xdr:colOff>
                <xdr:row>3</xdr:row>
                <xdr:rowOff>95250</xdr:rowOff>
              </to>
            </anchor>
          </controlPr>
        </control>
      </mc:Choice>
      <mc:Fallback>
        <control shapeId="1296" r:id="rId24" name="CommandButton内外卡槽"/>
      </mc:Fallback>
    </mc:AlternateContent>
    <mc:AlternateContent xmlns:mc="http://schemas.openxmlformats.org/markup-compatibility/2006">
      <mc:Choice Requires="x14">
        <control shapeId="1295" r:id="rId26" name="CommandButton平键轴槽">
          <controlPr defaultSize="0" altText="" r:id="rId27">
            <anchor moveWithCells="1">
              <from>
                <xdr:col>8</xdr:col>
                <xdr:colOff>57150</xdr:colOff>
                <xdr:row>1</xdr:row>
                <xdr:rowOff>9525</xdr:rowOff>
              </from>
              <to>
                <xdr:col>9</xdr:col>
                <xdr:colOff>76200</xdr:colOff>
                <xdr:row>1</xdr:row>
                <xdr:rowOff>285750</xdr:rowOff>
              </to>
            </anchor>
          </controlPr>
        </control>
      </mc:Choice>
      <mc:Fallback>
        <control shapeId="1295" r:id="rId26" name="CommandButton平键轴槽"/>
      </mc:Fallback>
    </mc:AlternateContent>
    <mc:AlternateContent xmlns:mc="http://schemas.openxmlformats.org/markup-compatibility/2006">
      <mc:Choice Requires="x14">
        <control shapeId="1294" r:id="rId28" name="OptionButton螺孔">
          <controlPr defaultSize="0" autoPict="0" altText="" r:id="rId29">
            <anchor moveWithCells="1">
              <from>
                <xdr:col>5</xdr:col>
                <xdr:colOff>57150</xdr:colOff>
                <xdr:row>4</xdr:row>
                <xdr:rowOff>28575</xdr:rowOff>
              </from>
              <to>
                <xdr:col>5</xdr:col>
                <xdr:colOff>561975</xdr:colOff>
                <xdr:row>4</xdr:row>
                <xdr:rowOff>266700</xdr:rowOff>
              </to>
            </anchor>
          </controlPr>
        </control>
      </mc:Choice>
      <mc:Fallback>
        <control shapeId="1294" r:id="rId28" name="OptionButton螺孔"/>
      </mc:Fallback>
    </mc:AlternateContent>
    <mc:AlternateContent xmlns:mc="http://schemas.openxmlformats.org/markup-compatibility/2006">
      <mc:Choice Requires="x14">
        <control shapeId="1293" r:id="rId30" name="OptionButton通孔">
          <controlPr defaultSize="0" autoPict="0" altText="" r:id="rId31">
            <anchor moveWithCells="1">
              <from>
                <xdr:col>5</xdr:col>
                <xdr:colOff>76200</xdr:colOff>
                <xdr:row>2</xdr:row>
                <xdr:rowOff>152400</xdr:rowOff>
              </from>
              <to>
                <xdr:col>5</xdr:col>
                <xdr:colOff>581025</xdr:colOff>
                <xdr:row>4</xdr:row>
                <xdr:rowOff>47625</xdr:rowOff>
              </to>
            </anchor>
          </controlPr>
        </control>
      </mc:Choice>
      <mc:Fallback>
        <control shapeId="1293" r:id="rId30" name="OptionButton通孔"/>
      </mc:Fallback>
    </mc:AlternateContent>
    <mc:AlternateContent xmlns:mc="http://schemas.openxmlformats.org/markup-compatibility/2006">
      <mc:Choice Requires="x14">
        <control shapeId="1281" r:id="rId32" name="CommandButton矩形板">
          <controlPr defaultSize="0" autoPict="0" altText="" r:id="rId33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361950</xdr:colOff>
                <xdr:row>1</xdr:row>
                <xdr:rowOff>285750</xdr:rowOff>
              </to>
            </anchor>
          </controlPr>
        </control>
      </mc:Choice>
      <mc:Fallback>
        <control shapeId="1281" r:id="rId32" name="CommandButton矩形板"/>
      </mc:Fallback>
    </mc:AlternateContent>
    <mc:AlternateContent xmlns:mc="http://schemas.openxmlformats.org/markup-compatibility/2006">
      <mc:Choice Requires="x14">
        <control shapeId="1280" r:id="rId34" name="CommandButton加台阶">
          <controlPr defaultSize="0" autoPict="0" altText="" r:id="rId35">
            <anchor moveWithCells="1">
              <from>
                <xdr:col>14</xdr:col>
                <xdr:colOff>619125</xdr:colOff>
                <xdr:row>0</xdr:row>
                <xdr:rowOff>0</xdr:rowOff>
              </from>
              <to>
                <xdr:col>15</xdr:col>
                <xdr:colOff>266700</xdr:colOff>
                <xdr:row>2</xdr:row>
                <xdr:rowOff>28575</xdr:rowOff>
              </to>
            </anchor>
          </controlPr>
        </control>
      </mc:Choice>
      <mc:Fallback>
        <control shapeId="1280" r:id="rId34" name="CommandButton加台阶"/>
      </mc:Fallback>
    </mc:AlternateContent>
    <mc:AlternateContent xmlns:mc="http://schemas.openxmlformats.org/markup-compatibility/2006">
      <mc:Choice Requires="x14">
        <control shapeId="1279" r:id="rId36" name="OptionButton求数量">
          <controlPr defaultSize="0" autoPict="0" altText="" r:id="rId37">
            <anchor moveWithCells="1">
              <from>
                <xdr:col>3</xdr:col>
                <xdr:colOff>533400</xdr:colOff>
                <xdr:row>4</xdr:row>
                <xdr:rowOff>95250</xdr:rowOff>
              </from>
              <to>
                <xdr:col>4</xdr:col>
                <xdr:colOff>657225</xdr:colOff>
                <xdr:row>4</xdr:row>
                <xdr:rowOff>333375</xdr:rowOff>
              </to>
            </anchor>
          </controlPr>
        </control>
      </mc:Choice>
      <mc:Fallback>
        <control shapeId="1279" r:id="rId36" name="OptionButton求数量"/>
      </mc:Fallback>
    </mc:AlternateContent>
    <mc:AlternateContent xmlns:mc="http://schemas.openxmlformats.org/markup-compatibility/2006">
      <mc:Choice Requires="x14">
        <control shapeId="1278" r:id="rId38" name="OptionButton求总长">
          <controlPr defaultSize="0" autoPict="0" altText="" r:id="rId39">
            <anchor moveWithCells="1">
              <from>
                <xdr:col>3</xdr:col>
                <xdr:colOff>523875</xdr:colOff>
                <xdr:row>3</xdr:row>
                <xdr:rowOff>66675</xdr:rowOff>
              </from>
              <to>
                <xdr:col>4</xdr:col>
                <xdr:colOff>647700</xdr:colOff>
                <xdr:row>4</xdr:row>
                <xdr:rowOff>133350</xdr:rowOff>
              </to>
            </anchor>
          </controlPr>
        </control>
      </mc:Choice>
      <mc:Fallback>
        <control shapeId="1278" r:id="rId38" name="OptionButton求总长"/>
      </mc:Fallback>
    </mc:AlternateContent>
    <mc:AlternateContent xmlns:mc="http://schemas.openxmlformats.org/markup-compatibility/2006">
      <mc:Choice Requires="x14">
        <control shapeId="1276" r:id="rId40" name="OptionButton求间距">
          <controlPr defaultSize="0" autoPict="0" altText="" r:id="rId41">
            <anchor moveWithCells="1">
              <from>
                <xdr:col>3</xdr:col>
                <xdr:colOff>523875</xdr:colOff>
                <xdr:row>2</xdr:row>
                <xdr:rowOff>19050</xdr:rowOff>
              </from>
              <to>
                <xdr:col>4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1276" r:id="rId40" name="OptionButton求间距"/>
      </mc:Fallback>
    </mc:AlternateContent>
    <mc:AlternateContent xmlns:mc="http://schemas.openxmlformats.org/markup-compatibility/2006">
      <mc:Choice Requires="x14">
        <control shapeId="1256" r:id="rId42" name="CommandButton直线">
          <controlPr defaultSize="0" autoPict="0" altText="" r:id="rId43">
            <anchor moveWithCells="1">
              <from>
                <xdr:col>3</xdr:col>
                <xdr:colOff>19050</xdr:colOff>
                <xdr:row>0</xdr:row>
                <xdr:rowOff>0</xdr:rowOff>
              </from>
              <to>
                <xdr:col>3</xdr:col>
                <xdr:colOff>657225</xdr:colOff>
                <xdr:row>0</xdr:row>
                <xdr:rowOff>257175</xdr:rowOff>
              </to>
            </anchor>
          </controlPr>
        </control>
      </mc:Choice>
      <mc:Fallback>
        <control shapeId="1256" r:id="rId42" name="CommandButton直线"/>
      </mc:Fallback>
    </mc:AlternateContent>
    <mc:AlternateContent xmlns:mc="http://schemas.openxmlformats.org/markup-compatibility/2006">
      <mc:Choice Requires="x14">
        <control shapeId="1241" r:id="rId44" name="CommandButton2点阵列草图孔">
          <controlPr defaultSize="0" autoPict="0" altText="" r:id="rId45">
            <anchor moveWithCells="1">
              <from>
                <xdr:col>0</xdr:col>
                <xdr:colOff>85725</xdr:colOff>
                <xdr:row>4</xdr:row>
                <xdr:rowOff>38100</xdr:rowOff>
              </from>
              <to>
                <xdr:col>0</xdr:col>
                <xdr:colOff>457200</xdr:colOff>
                <xdr:row>4</xdr:row>
                <xdr:rowOff>295275</xdr:rowOff>
              </to>
            </anchor>
          </controlPr>
        </control>
      </mc:Choice>
      <mc:Fallback>
        <control shapeId="1241" r:id="rId44" name="CommandButton2点阵列草图孔"/>
      </mc:Fallback>
    </mc:AlternateContent>
    <mc:AlternateContent xmlns:mc="http://schemas.openxmlformats.org/markup-compatibility/2006">
      <mc:Choice Requires="x14">
        <control shapeId="1240" r:id="rId46" name="CommandButton点阵列草图">
          <controlPr defaultSize="0" autoPict="0" altText="" r:id="rId47">
            <anchor moveWithCells="1">
              <from>
                <xdr:col>0</xdr:col>
                <xdr:colOff>0</xdr:colOff>
                <xdr:row>2</xdr:row>
                <xdr:rowOff>57150</xdr:rowOff>
              </from>
              <to>
                <xdr:col>1</xdr:col>
                <xdr:colOff>28575</xdr:colOff>
                <xdr:row>3</xdr:row>
                <xdr:rowOff>142875</xdr:rowOff>
              </to>
            </anchor>
          </controlPr>
        </control>
      </mc:Choice>
      <mc:Fallback>
        <control shapeId="1240" r:id="rId46" name="CommandButton点阵列草图"/>
      </mc:Fallback>
    </mc:AlternateContent>
    <mc:AlternateContent xmlns:mc="http://schemas.openxmlformats.org/markup-compatibility/2006">
      <mc:Choice Requires="x14">
        <control shapeId="1237" r:id="rId48" name="OptionButton2双排">
          <controlPr defaultSize="0" autoPict="0" altText="" r:id="rId49">
            <anchor moveWithCells="1">
              <from>
                <xdr:col>1</xdr:col>
                <xdr:colOff>57150</xdr:colOff>
                <xdr:row>4</xdr:row>
                <xdr:rowOff>38100</xdr:rowOff>
              </from>
              <to>
                <xdr:col>1</xdr:col>
                <xdr:colOff>628650</xdr:colOff>
                <xdr:row>4</xdr:row>
                <xdr:rowOff>257175</xdr:rowOff>
              </to>
            </anchor>
          </controlPr>
        </control>
      </mc:Choice>
      <mc:Fallback>
        <control shapeId="1237" r:id="rId48" name="OptionButton2双排"/>
      </mc:Fallback>
    </mc:AlternateContent>
    <mc:AlternateContent xmlns:mc="http://schemas.openxmlformats.org/markup-compatibility/2006">
      <mc:Choice Requires="x14">
        <control shapeId="1236" r:id="rId50" name="OptionButton单排">
          <controlPr defaultSize="0" autoPict="0" altText="" r:id="rId51">
            <anchor moveWithCells="1">
              <from>
                <xdr:col>1</xdr:col>
                <xdr:colOff>657225</xdr:colOff>
                <xdr:row>4</xdr:row>
                <xdr:rowOff>38100</xdr:rowOff>
              </from>
              <to>
                <xdr:col>2</xdr:col>
                <xdr:colOff>504825</xdr:colOff>
                <xdr:row>4</xdr:row>
                <xdr:rowOff>276225</xdr:rowOff>
              </to>
            </anchor>
          </controlPr>
        </control>
      </mc:Choice>
      <mc:Fallback>
        <control shapeId="1236" r:id="rId50" name="OptionButton单排"/>
      </mc:Fallback>
    </mc:AlternateContent>
    <mc:AlternateContent xmlns:mc="http://schemas.openxmlformats.org/markup-compatibility/2006">
      <mc:Choice Requires="x14">
        <control shapeId="1235" r:id="rId52" name="CheckBox1加方程式">
          <controlPr defaultSize="0" autoPict="0" altText="" r:id="rId53">
            <anchor moveWithCells="1">
              <from>
                <xdr:col>3</xdr:col>
                <xdr:colOff>38100</xdr:colOff>
                <xdr:row>2</xdr:row>
                <xdr:rowOff>47625</xdr:rowOff>
              </from>
              <to>
                <xdr:col>3</xdr:col>
                <xdr:colOff>485775</xdr:colOff>
                <xdr:row>4</xdr:row>
                <xdr:rowOff>276225</xdr:rowOff>
              </to>
            </anchor>
          </controlPr>
        </control>
      </mc:Choice>
      <mc:Fallback>
        <control shapeId="1235" r:id="rId52" name="CheckBox1加方程式"/>
      </mc:Fallback>
    </mc:AlternateContent>
    <mc:AlternateContent xmlns:mc="http://schemas.openxmlformats.org/markup-compatibility/2006">
      <mc:Choice Requires="x14">
        <control shapeId="1182" r:id="rId54" name="CommandButton模型设置标准化">
          <controlPr defaultSize="0" autoPict="0" altText="" r:id="rId55">
            <anchor moveWithCells="1">
              <from>
                <xdr:col>0</xdr:col>
                <xdr:colOff>790575</xdr:colOff>
                <xdr:row>5</xdr:row>
                <xdr:rowOff>66675</xdr:rowOff>
              </from>
              <to>
                <xdr:col>2</xdr:col>
                <xdr:colOff>9525</xdr:colOff>
                <xdr:row>6</xdr:row>
                <xdr:rowOff>257175</xdr:rowOff>
              </to>
            </anchor>
          </controlPr>
        </control>
      </mc:Choice>
      <mc:Fallback>
        <control shapeId="1182" r:id="rId54" name="CommandButton模型设置标准化"/>
      </mc:Fallback>
    </mc:AlternateContent>
    <mc:AlternateContent xmlns:mc="http://schemas.openxmlformats.org/markup-compatibility/2006">
      <mc:Choice Requires="x14">
        <control shapeId="1180" r:id="rId56" name="CheckBox1改绘图标准">
          <controlPr defaultSize="0" autoPict="0" altText="" r:id="rId57">
            <anchor moveWithCells="1">
              <from>
                <xdr:col>11</xdr:col>
                <xdr:colOff>161925</xdr:colOff>
                <xdr:row>19</xdr:row>
                <xdr:rowOff>171450</xdr:rowOff>
              </from>
              <to>
                <xdr:col>12</xdr:col>
                <xdr:colOff>323850</xdr:colOff>
                <xdr:row>21</xdr:row>
                <xdr:rowOff>19050</xdr:rowOff>
              </to>
            </anchor>
          </controlPr>
        </control>
      </mc:Choice>
      <mc:Fallback>
        <control shapeId="1180" r:id="rId56" name="CheckBox1改绘图标准"/>
      </mc:Fallback>
    </mc:AlternateContent>
    <mc:AlternateContent xmlns:mc="http://schemas.openxmlformats.org/markup-compatibility/2006">
      <mc:Choice Requires="x14">
        <control shapeId="1178" r:id="rId58" name="CommandButton2两点孔">
          <controlPr defaultSize="0" autoPict="0" altText="" r:id="rId59">
            <anchor moveWithCells="1">
              <from>
                <xdr:col>3</xdr:col>
                <xdr:colOff>28575</xdr:colOff>
                <xdr:row>0</xdr:row>
                <xdr:rowOff>295275</xdr:rowOff>
              </from>
              <to>
                <xdr:col>3</xdr:col>
                <xdr:colOff>600075</xdr:colOff>
                <xdr:row>1</xdr:row>
                <xdr:rowOff>247650</xdr:rowOff>
              </to>
            </anchor>
          </controlPr>
        </control>
      </mc:Choice>
      <mc:Fallback>
        <control shapeId="1178" r:id="rId58" name="CommandButton2两点孔"/>
      </mc:Fallback>
    </mc:AlternateContent>
    <mc:AlternateContent xmlns:mc="http://schemas.openxmlformats.org/markup-compatibility/2006">
      <mc:Choice Requires="x14">
        <control shapeId="1158" r:id="rId60" name="CommandButton2矩形四点孔">
          <controlPr defaultSize="0" autoPict="0" altText="" r:id="rId61">
            <anchor moveWithCells="1">
              <from>
                <xdr:col>0</xdr:col>
                <xdr:colOff>0</xdr:colOff>
                <xdr:row>1</xdr:row>
                <xdr:rowOff>104775</xdr:rowOff>
              </from>
              <to>
                <xdr:col>0</xdr:col>
                <xdr:colOff>581025</xdr:colOff>
                <xdr:row>1</xdr:row>
                <xdr:rowOff>361950</xdr:rowOff>
              </to>
            </anchor>
          </controlPr>
        </control>
      </mc:Choice>
      <mc:Fallback>
        <control shapeId="1158" r:id="rId60" name="CommandButton2矩形四点孔"/>
      </mc:Fallback>
    </mc:AlternateContent>
    <mc:AlternateContent xmlns:mc="http://schemas.openxmlformats.org/markup-compatibility/2006">
      <mc:Choice Requires="x14">
        <control shapeId="1153" r:id="rId62" name="CommandButton2切换主从尺寸">
          <controlPr defaultSize="0" autoPict="0" altText="" r:id="rId63">
            <anchor moveWithCells="1">
              <from>
                <xdr:col>6</xdr:col>
                <xdr:colOff>57150</xdr:colOff>
                <xdr:row>0</xdr:row>
                <xdr:rowOff>0</xdr:rowOff>
              </from>
              <to>
                <xdr:col>6</xdr:col>
                <xdr:colOff>390525</xdr:colOff>
                <xdr:row>4</xdr:row>
                <xdr:rowOff>57150</xdr:rowOff>
              </to>
            </anchor>
          </controlPr>
        </control>
      </mc:Choice>
      <mc:Fallback>
        <control shapeId="1153" r:id="rId62" name="CommandButton2切换主从尺寸"/>
      </mc:Fallback>
    </mc:AlternateContent>
    <mc:AlternateContent xmlns:mc="http://schemas.openxmlformats.org/markup-compatibility/2006">
      <mc:Choice Requires="x14">
        <control shapeId="1145" r:id="rId64" name="CommandButton解锁外部参考">
          <controlPr defaultSize="0" autoPict="0" altText="" r:id="rId65">
            <anchor moveWithCells="1">
              <from>
                <xdr:col>0</xdr:col>
                <xdr:colOff>552450</xdr:colOff>
                <xdr:row>17</xdr:row>
                <xdr:rowOff>190500</xdr:rowOff>
              </from>
              <to>
                <xdr:col>1</xdr:col>
                <xdr:colOff>133350</xdr:colOff>
                <xdr:row>18</xdr:row>
                <xdr:rowOff>95250</xdr:rowOff>
              </to>
            </anchor>
          </controlPr>
        </control>
      </mc:Choice>
      <mc:Fallback>
        <control shapeId="1145" r:id="rId64" name="CommandButton解锁外部参考"/>
      </mc:Fallback>
    </mc:AlternateContent>
    <mc:AlternateContent xmlns:mc="http://schemas.openxmlformats.org/markup-compatibility/2006">
      <mc:Choice Requires="x14">
        <control shapeId="1144" r:id="rId66" name="CommandButton锁定外部参考">
          <controlPr defaultSize="0" autoPict="0" altText="" r:id="rId67">
            <anchor moveWithCells="1">
              <from>
                <xdr:col>0</xdr:col>
                <xdr:colOff>0</xdr:colOff>
                <xdr:row>17</xdr:row>
                <xdr:rowOff>190500</xdr:rowOff>
              </from>
              <to>
                <xdr:col>0</xdr:col>
                <xdr:colOff>485775</xdr:colOff>
                <xdr:row>18</xdr:row>
                <xdr:rowOff>85725</xdr:rowOff>
              </to>
            </anchor>
          </controlPr>
        </control>
      </mc:Choice>
      <mc:Fallback>
        <control shapeId="1144" r:id="rId66" name="CommandButton锁定外部参考"/>
      </mc:Fallback>
    </mc:AlternateContent>
    <mc:AlternateContent xmlns:mc="http://schemas.openxmlformats.org/markup-compatibility/2006">
      <mc:Choice Requires="x14">
        <control shapeId="1142" r:id="rId68" name="CheckBox2d草图">
          <controlPr defaultSize="0" autoPict="0" altText="" r:id="rId69">
            <anchor moveWithCells="1">
              <from>
                <xdr:col>6</xdr:col>
                <xdr:colOff>114300</xdr:colOff>
                <xdr:row>15</xdr:row>
                <xdr:rowOff>38100</xdr:rowOff>
              </from>
              <to>
                <xdr:col>7</xdr:col>
                <xdr:colOff>66675</xdr:colOff>
                <xdr:row>16</xdr:row>
                <xdr:rowOff>76200</xdr:rowOff>
              </to>
            </anchor>
          </controlPr>
        </control>
      </mc:Choice>
      <mc:Fallback>
        <control shapeId="1142" r:id="rId68" name="CheckBox2d草图"/>
      </mc:Fallback>
    </mc:AlternateContent>
    <mc:AlternateContent xmlns:mc="http://schemas.openxmlformats.org/markup-compatibility/2006">
      <mc:Choice Requires="x14">
        <control shapeId="1140" r:id="rId70" name="CheckBox坐标">
          <controlPr defaultSize="0" autoPict="0" altText="" r:id="rId71">
            <anchor moveWithCells="1">
              <from>
                <xdr:col>2</xdr:col>
                <xdr:colOff>314325</xdr:colOff>
                <xdr:row>12</xdr:row>
                <xdr:rowOff>133350</xdr:rowOff>
              </from>
              <to>
                <xdr:col>3</xdr:col>
                <xdr:colOff>114300</xdr:colOff>
                <xdr:row>13</xdr:row>
                <xdr:rowOff>95250</xdr:rowOff>
              </to>
            </anchor>
          </controlPr>
        </control>
      </mc:Choice>
      <mc:Fallback>
        <control shapeId="1140" r:id="rId70" name="CheckBox坐标"/>
      </mc:Fallback>
    </mc:AlternateContent>
    <mc:AlternateContent xmlns:mc="http://schemas.openxmlformats.org/markup-compatibility/2006">
      <mc:Choice Requires="x14">
        <control shapeId="1138" r:id="rId72" name="CheckBox实体所有边">
          <controlPr defaultSize="0" autoPict="0" altText="" r:id="rId73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314325</xdr:colOff>
                <xdr:row>16</xdr:row>
                <xdr:rowOff>66675</xdr:rowOff>
              </to>
            </anchor>
          </controlPr>
        </control>
      </mc:Choice>
      <mc:Fallback>
        <control shapeId="1138" r:id="rId72" name="CheckBox实体所有边"/>
      </mc:Fallback>
    </mc:AlternateContent>
    <mc:AlternateContent xmlns:mc="http://schemas.openxmlformats.org/markup-compatibility/2006">
      <mc:Choice Requires="x14">
        <control shapeId="1137" r:id="rId74" name="CommandButton打开加配置名工程图">
          <controlPr defaultSize="0" autoPict="0" altText="" r:id="rId75">
            <anchor moveWithCells="1">
              <from>
                <xdr:col>0</xdr:col>
                <xdr:colOff>0</xdr:colOff>
                <xdr:row>14</xdr:row>
                <xdr:rowOff>142875</xdr:rowOff>
              </from>
              <to>
                <xdr:col>1</xdr:col>
                <xdr:colOff>647700</xdr:colOff>
                <xdr:row>16</xdr:row>
                <xdr:rowOff>57150</xdr:rowOff>
              </to>
            </anchor>
          </controlPr>
        </control>
      </mc:Choice>
      <mc:Fallback>
        <control shapeId="1137" r:id="rId74" name="CommandButton打开加配置名工程图"/>
      </mc:Fallback>
    </mc:AlternateContent>
    <mc:AlternateContent xmlns:mc="http://schemas.openxmlformats.org/markup-compatibility/2006">
      <mc:Choice Requires="x14">
        <control shapeId="1133" r:id="rId76" name="CommandButton阵列标注">
          <controlPr defaultSize="0" autoPict="0" altText="" r:id="rId77">
            <anchor moveWithCells="1">
              <from>
                <xdr:col>5</xdr:col>
                <xdr:colOff>466725</xdr:colOff>
                <xdr:row>24</xdr:row>
                <xdr:rowOff>114300</xdr:rowOff>
              </from>
              <to>
                <xdr:col>7</xdr:col>
                <xdr:colOff>152400</xdr:colOff>
                <xdr:row>26</xdr:row>
                <xdr:rowOff>38100</xdr:rowOff>
              </to>
            </anchor>
          </controlPr>
        </control>
      </mc:Choice>
      <mc:Fallback>
        <control shapeId="1133" r:id="rId76" name="CommandButton阵列标注"/>
      </mc:Fallback>
    </mc:AlternateContent>
    <mc:AlternateContent xmlns:mc="http://schemas.openxmlformats.org/markup-compatibility/2006">
      <mc:Choice Requires="x14">
        <control shapeId="1129" r:id="rId78" name="CommandButton插入外部参考零件">
          <controlPr defaultSize="0" autoPict="0" altText="" r:id="rId79">
            <anchor moveWithCells="1">
              <from>
                <xdr:col>1</xdr:col>
                <xdr:colOff>190500</xdr:colOff>
                <xdr:row>12</xdr:row>
                <xdr:rowOff>76200</xdr:rowOff>
              </from>
              <to>
                <xdr:col>2</xdr:col>
                <xdr:colOff>295275</xdr:colOff>
                <xdr:row>14</xdr:row>
                <xdr:rowOff>66675</xdr:rowOff>
              </to>
            </anchor>
          </controlPr>
        </control>
      </mc:Choice>
      <mc:Fallback>
        <control shapeId="1129" r:id="rId78" name="CommandButton插入外部参考零件"/>
      </mc:Fallback>
    </mc:AlternateContent>
    <mc:AlternateContent xmlns:mc="http://schemas.openxmlformats.org/markup-compatibility/2006">
      <mc:Choice Requires="x14">
        <control shapeId="1119" r:id="rId80" name="CommandButton插入新装配体">
          <controlPr defaultSize="0" autoPict="0" altText="" r:id="rId81">
            <anchor moveWithCells="1">
              <from>
                <xdr:col>4</xdr:col>
                <xdr:colOff>9525</xdr:colOff>
                <xdr:row>9</xdr:row>
                <xdr:rowOff>28575</xdr:rowOff>
              </from>
              <to>
                <xdr:col>5</xdr:col>
                <xdr:colOff>314325</xdr:colOff>
                <xdr:row>10</xdr:row>
                <xdr:rowOff>47625</xdr:rowOff>
              </to>
            </anchor>
          </controlPr>
        </control>
      </mc:Choice>
      <mc:Fallback>
        <control shapeId="1119" r:id="rId80" name="CommandButton插入新装配体"/>
      </mc:Fallback>
    </mc:AlternateContent>
    <mc:AlternateContent xmlns:mc="http://schemas.openxmlformats.org/markup-compatibility/2006">
      <mc:Choice Requires="x14">
        <control shapeId="1113" r:id="rId82" name="CommandButton插入新零件">
          <controlPr defaultSize="0" autoPict="0" altText="" r:id="rId83">
            <anchor moveWithCells="1">
              <from>
                <xdr:col>4</xdr:col>
                <xdr:colOff>9525</xdr:colOff>
                <xdr:row>10</xdr:row>
                <xdr:rowOff>57150</xdr:rowOff>
              </from>
              <to>
                <xdr:col>5</xdr:col>
                <xdr:colOff>180975</xdr:colOff>
                <xdr:row>11</xdr:row>
                <xdr:rowOff>142875</xdr:rowOff>
              </to>
            </anchor>
          </controlPr>
        </control>
      </mc:Choice>
      <mc:Fallback>
        <control shapeId="1113" r:id="rId82" name="CommandButton插入新零件"/>
      </mc:Fallback>
    </mc:AlternateContent>
    <mc:AlternateContent xmlns:mc="http://schemas.openxmlformats.org/markup-compatibility/2006">
      <mc:Choice Requires="x14">
        <control shapeId="1110" r:id="rId84" name="CommandButton处理孔标注">
          <controlPr defaultSize="0" autoPict="0" altText="" r:id="rId85">
            <anchor moveWithCells="1">
              <from>
                <xdr:col>3</xdr:col>
                <xdr:colOff>504825</xdr:colOff>
                <xdr:row>23</xdr:row>
                <xdr:rowOff>76200</xdr:rowOff>
              </from>
              <to>
                <xdr:col>5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110" r:id="rId84" name="CommandButton处理孔标注"/>
      </mc:Fallback>
    </mc:AlternateContent>
    <mc:AlternateContent xmlns:mc="http://schemas.openxmlformats.org/markup-compatibility/2006">
      <mc:Choice Requires="x14">
        <control shapeId="1106" r:id="rId86" name="CheckBox虚拟">
          <controlPr defaultSize="0" autoPict="0" altText="" r:id="rId87">
            <anchor moveWithCells="1">
              <from>
                <xdr:col>5</xdr:col>
                <xdr:colOff>276225</xdr:colOff>
                <xdr:row>10</xdr:row>
                <xdr:rowOff>104775</xdr:rowOff>
              </from>
              <to>
                <xdr:col>6</xdr:col>
                <xdr:colOff>104775</xdr:colOff>
                <xdr:row>11</xdr:row>
                <xdr:rowOff>133350</xdr:rowOff>
              </to>
            </anchor>
          </controlPr>
        </control>
      </mc:Choice>
      <mc:Fallback>
        <control shapeId="1106" r:id="rId86" name="CheckBox虚拟"/>
      </mc:Fallback>
    </mc:AlternateContent>
    <mc:AlternateContent xmlns:mc="http://schemas.openxmlformats.org/markup-compatibility/2006">
      <mc:Choice Requires="x14">
        <control shapeId="1103" r:id="rId88" name="CommandButton转换实体">
          <controlPr defaultSize="0" autoPict="0" altText="" r:id="rId89">
            <anchor moveWithCells="1">
              <from>
                <xdr:col>5</xdr:col>
                <xdr:colOff>28575</xdr:colOff>
                <xdr:row>15</xdr:row>
                <xdr:rowOff>9525</xdr:rowOff>
              </from>
              <to>
                <xdr:col>6</xdr:col>
                <xdr:colOff>66675</xdr:colOff>
                <xdr:row>16</xdr:row>
                <xdr:rowOff>95250</xdr:rowOff>
              </to>
            </anchor>
          </controlPr>
        </control>
      </mc:Choice>
      <mc:Fallback>
        <control shapeId="1103" r:id="rId88" name="CommandButton转换实体"/>
      </mc:Fallback>
    </mc:AlternateContent>
    <mc:AlternateContent xmlns:mc="http://schemas.openxmlformats.org/markup-compatibility/2006">
      <mc:Choice Requires="x14">
        <control shapeId="1101" r:id="rId90" name="OptionButton焊件">
          <controlPr defaultSize="0" autoPict="0" altText="" r:id="rId91">
            <anchor moveWithCells="1">
              <from>
                <xdr:col>15</xdr:col>
                <xdr:colOff>552450</xdr:colOff>
                <xdr:row>22</xdr:row>
                <xdr:rowOff>161925</xdr:rowOff>
              </from>
              <to>
                <xdr:col>16</xdr:col>
                <xdr:colOff>495300</xdr:colOff>
                <xdr:row>24</xdr:row>
                <xdr:rowOff>47625</xdr:rowOff>
              </to>
            </anchor>
          </controlPr>
        </control>
      </mc:Choice>
      <mc:Fallback>
        <control shapeId="1101" r:id="rId90" name="OptionButton焊件"/>
      </mc:Fallback>
    </mc:AlternateContent>
    <mc:AlternateContent xmlns:mc="http://schemas.openxmlformats.org/markup-compatibility/2006">
      <mc:Choice Requires="x14">
        <control shapeId="1100" r:id="rId92" name="OptionButton机加">
          <controlPr defaultSize="0" autoPict="0" altText="" r:id="rId93">
            <anchor moveWithCells="1">
              <from>
                <xdr:col>15</xdr:col>
                <xdr:colOff>552450</xdr:colOff>
                <xdr:row>21</xdr:row>
                <xdr:rowOff>76200</xdr:rowOff>
              </from>
              <to>
                <xdr:col>16</xdr:col>
                <xdr:colOff>495300</xdr:colOff>
                <xdr:row>22</xdr:row>
                <xdr:rowOff>123825</xdr:rowOff>
              </to>
            </anchor>
          </controlPr>
        </control>
      </mc:Choice>
      <mc:Fallback>
        <control shapeId="1100" r:id="rId92" name="OptionButton机加"/>
      </mc:Fallback>
    </mc:AlternateContent>
    <mc:AlternateContent xmlns:mc="http://schemas.openxmlformats.org/markup-compatibility/2006">
      <mc:Choice Requires="x14">
        <control shapeId="1099" r:id="rId94" name="OptionButton钣金">
          <controlPr defaultSize="0" autoPict="0" altText="" r:id="rId95">
            <anchor moveWithCells="1">
              <from>
                <xdr:col>15</xdr:col>
                <xdr:colOff>542925</xdr:colOff>
                <xdr:row>20</xdr:row>
                <xdr:rowOff>28575</xdr:rowOff>
              </from>
              <to>
                <xdr:col>16</xdr:col>
                <xdr:colOff>571500</xdr:colOff>
                <xdr:row>21</xdr:row>
                <xdr:rowOff>85725</xdr:rowOff>
              </to>
            </anchor>
          </controlPr>
        </control>
      </mc:Choice>
      <mc:Fallback>
        <control shapeId="1099" r:id="rId94" name="OptionButton钣金"/>
      </mc:Fallback>
    </mc:AlternateContent>
    <mc:AlternateContent xmlns:mc="http://schemas.openxmlformats.org/markup-compatibility/2006">
      <mc:Choice Requires="x14">
        <control shapeId="1093" r:id="rId96" name="CheckBox清单排除">
          <controlPr defaultSize="0" autoPict="0" altText="" r:id="rId97">
            <anchor moveWithCells="1">
              <from>
                <xdr:col>6</xdr:col>
                <xdr:colOff>142875</xdr:colOff>
                <xdr:row>10</xdr:row>
                <xdr:rowOff>104775</xdr:rowOff>
              </from>
              <to>
                <xdr:col>7</xdr:col>
                <xdr:colOff>161925</xdr:colOff>
                <xdr:row>11</xdr:row>
                <xdr:rowOff>123825</xdr:rowOff>
              </to>
            </anchor>
          </controlPr>
        </control>
      </mc:Choice>
      <mc:Fallback>
        <control shapeId="1093" r:id="rId96" name="CheckBox清单排除"/>
      </mc:Fallback>
    </mc:AlternateContent>
    <mc:AlternateContent xmlns:mc="http://schemas.openxmlformats.org/markup-compatibility/2006">
      <mc:Choice Requires="x14">
        <control shapeId="1091" r:id="rId98" name="CommandButton选择零件重装配">
          <controlPr defaultSize="0" autoPict="0" altText="" r:id="rId99">
            <anchor moveWithCells="1">
              <from>
                <xdr:col>3</xdr:col>
                <xdr:colOff>123825</xdr:colOff>
                <xdr:row>12</xdr:row>
                <xdr:rowOff>38100</xdr:rowOff>
              </from>
              <to>
                <xdr:col>4</xdr:col>
                <xdr:colOff>581025</xdr:colOff>
                <xdr:row>14</xdr:row>
                <xdr:rowOff>66675</xdr:rowOff>
              </to>
            </anchor>
          </controlPr>
        </control>
      </mc:Choice>
      <mc:Fallback>
        <control shapeId="1091" r:id="rId98" name="CommandButton选择零件重装配"/>
      </mc:Fallback>
    </mc:AlternateContent>
    <mc:AlternateContent xmlns:mc="http://schemas.openxmlformats.org/markup-compatibility/2006">
      <mc:Choice Requires="x14">
        <control shapeId="1090" r:id="rId100" name="CommandButton插入外部参考装配体">
          <controlPr defaultSize="0" autoPict="0" altText="" r:id="rId101">
            <anchor moveWithCells="1">
              <from>
                <xdr:col>0</xdr:col>
                <xdr:colOff>0</xdr:colOff>
                <xdr:row>12</xdr:row>
                <xdr:rowOff>66675</xdr:rowOff>
              </from>
              <to>
                <xdr:col>1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090" r:id="rId100" name="CommandButton插入外部参考装配体"/>
      </mc:Fallback>
    </mc:AlternateContent>
    <mc:AlternateContent xmlns:mc="http://schemas.openxmlformats.org/markup-compatibility/2006">
      <mc:Choice Requires="x14">
        <control shapeId="1088" r:id="rId102" name="CommandButton更新等距">
          <controlPr defaultSize="0" autoPict="0" altText="" r:id="rId103">
            <anchor moveWithCells="1">
              <from>
                <xdr:col>7</xdr:col>
                <xdr:colOff>609600</xdr:colOff>
                <xdr:row>12</xdr:row>
                <xdr:rowOff>19050</xdr:rowOff>
              </from>
              <to>
                <xdr:col>8</xdr:col>
                <xdr:colOff>657225</xdr:colOff>
                <xdr:row>13</xdr:row>
                <xdr:rowOff>47625</xdr:rowOff>
              </to>
            </anchor>
          </controlPr>
        </control>
      </mc:Choice>
      <mc:Fallback>
        <control shapeId="1088" r:id="rId102" name="CommandButton更新等距"/>
      </mc:Fallback>
    </mc:AlternateContent>
    <mc:AlternateContent xmlns:mc="http://schemas.openxmlformats.org/markup-compatibility/2006">
      <mc:Choice Requires="x14">
        <control shapeId="1086" r:id="rId104" name="CheckBox全选实体面">
          <controlPr defaultSize="0" autoPict="0" altText="" r:id="rId105">
            <anchor moveWithCells="1">
              <from>
                <xdr:col>6</xdr:col>
                <xdr:colOff>95250</xdr:colOff>
                <xdr:row>12</xdr:row>
                <xdr:rowOff>38100</xdr:rowOff>
              </from>
              <to>
                <xdr:col>7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86" r:id="rId104" name="CheckBox全选实体面"/>
      </mc:Fallback>
    </mc:AlternateContent>
    <mc:AlternateContent xmlns:mc="http://schemas.openxmlformats.org/markup-compatibility/2006">
      <mc:Choice Requires="x14">
        <control shapeId="1085" r:id="rId106" name="CommandButton派生草图到其他零件">
          <controlPr defaultSize="0" autoPict="0" altText="" r:id="rId107">
            <anchor moveWithCells="1">
              <from>
                <xdr:col>5</xdr:col>
                <xdr:colOff>28575</xdr:colOff>
                <xdr:row>13</xdr:row>
                <xdr:rowOff>85725</xdr:rowOff>
              </from>
              <to>
                <xdr:col>7</xdr:col>
                <xdr:colOff>95250</xdr:colOff>
                <xdr:row>14</xdr:row>
                <xdr:rowOff>161925</xdr:rowOff>
              </to>
            </anchor>
          </controlPr>
        </control>
      </mc:Choice>
      <mc:Fallback>
        <control shapeId="1085" r:id="rId106" name="CommandButton派生草图到其他零件"/>
      </mc:Fallback>
    </mc:AlternateContent>
    <mc:AlternateContent xmlns:mc="http://schemas.openxmlformats.org/markup-compatibility/2006">
      <mc:Choice Requires="x14">
        <control shapeId="1081" r:id="rId108" name="CommandButton修改张数">
          <controlPr defaultSize="0" autoPict="0" altText="" r:id="rId109">
            <anchor moveWithCells="1">
              <from>
                <xdr:col>0</xdr:col>
                <xdr:colOff>0</xdr:colOff>
                <xdr:row>23</xdr:row>
                <xdr:rowOff>161925</xdr:rowOff>
              </from>
              <to>
                <xdr:col>0</xdr:col>
                <xdr:colOff>800100</xdr:colOff>
                <xdr:row>25</xdr:row>
                <xdr:rowOff>76200</xdr:rowOff>
              </to>
            </anchor>
          </controlPr>
        </control>
      </mc:Choice>
      <mc:Fallback>
        <control shapeId="1081" r:id="rId108" name="CommandButton修改张数"/>
      </mc:Fallback>
    </mc:AlternateContent>
    <mc:AlternateContent xmlns:mc="http://schemas.openxmlformats.org/markup-compatibility/2006">
      <mc:Choice Requires="x14">
        <control shapeId="1080" r:id="rId110" name="CommandButton粘贴技术要求">
          <controlPr defaultSize="0" autoPict="0" altText="" r:id="rId111">
            <anchor moveWithCells="1">
              <from>
                <xdr:col>14</xdr:col>
                <xdr:colOff>57150</xdr:colOff>
                <xdr:row>20</xdr:row>
                <xdr:rowOff>28575</xdr:rowOff>
              </from>
              <to>
                <xdr:col>15</xdr:col>
                <xdr:colOff>428625</xdr:colOff>
                <xdr:row>21</xdr:row>
                <xdr:rowOff>114300</xdr:rowOff>
              </to>
            </anchor>
          </controlPr>
        </control>
      </mc:Choice>
      <mc:Fallback>
        <control shapeId="1080" r:id="rId110" name="CommandButton粘贴技术要求"/>
      </mc:Fallback>
    </mc:AlternateContent>
    <mc:AlternateContent xmlns:mc="http://schemas.openxmlformats.org/markup-compatibility/2006">
      <mc:Choice Requires="x14">
        <control shapeId="1077" r:id="rId112" name="CommandButton切割清单属性to配置特定">
          <controlPr defaultSize="0" autoPict="0" altText="" r:id="rId113">
            <anchor moveWithCells="1">
              <from>
                <xdr:col>4</xdr:col>
                <xdr:colOff>19050</xdr:colOff>
                <xdr:row>5</xdr:row>
                <xdr:rowOff>38100</xdr:rowOff>
              </from>
              <to>
                <xdr:col>4</xdr:col>
                <xdr:colOff>647700</xdr:colOff>
                <xdr:row>7</xdr:row>
                <xdr:rowOff>104775</xdr:rowOff>
              </to>
            </anchor>
          </controlPr>
        </control>
      </mc:Choice>
      <mc:Fallback>
        <control shapeId="1077" r:id="rId112" name="CommandButton切割清单属性to配置特定"/>
      </mc:Fallback>
    </mc:AlternateContent>
    <mc:AlternateContent xmlns:mc="http://schemas.openxmlformats.org/markup-compatibility/2006">
      <mc:Choice Requires="x14">
        <control shapeId="1076" r:id="rId114" name="CommandButton1坐标系改名">
          <controlPr defaultSize="0" autoPict="0" altText="" r:id="rId115">
            <anchor moveWithCells="1">
              <from>
                <xdr:col>10</xdr:col>
                <xdr:colOff>419100</xdr:colOff>
                <xdr:row>13</xdr:row>
                <xdr:rowOff>66675</xdr:rowOff>
              </from>
              <to>
                <xdr:col>13</xdr:col>
                <xdr:colOff>400050</xdr:colOff>
                <xdr:row>14</xdr:row>
                <xdr:rowOff>152400</xdr:rowOff>
              </to>
            </anchor>
          </controlPr>
        </control>
      </mc:Choice>
      <mc:Fallback>
        <control shapeId="1076" r:id="rId114" name="CommandButton1坐标系改名"/>
      </mc:Fallback>
    </mc:AlternateContent>
    <mc:AlternateContent xmlns:mc="http://schemas.openxmlformats.org/markup-compatibility/2006">
      <mc:Choice Requires="x14">
        <control shapeId="1075" r:id="rId116" name="CommandButton更新坐标系_替换后用">
          <controlPr defaultSize="0" autoPict="0" altText="" r:id="rId117">
            <anchor moveWithCells="1">
              <from>
                <xdr:col>10</xdr:col>
                <xdr:colOff>409575</xdr:colOff>
                <xdr:row>15</xdr:row>
                <xdr:rowOff>28575</xdr:rowOff>
              </from>
              <to>
                <xdr:col>13</xdr:col>
                <xdr:colOff>390525</xdr:colOff>
                <xdr:row>16</xdr:row>
                <xdr:rowOff>104775</xdr:rowOff>
              </to>
            </anchor>
          </controlPr>
        </control>
      </mc:Choice>
      <mc:Fallback>
        <control shapeId="1075" r:id="rId116" name="CommandButton更新坐标系_替换后用"/>
      </mc:Fallback>
    </mc:AlternateContent>
    <mc:AlternateContent xmlns:mc="http://schemas.openxmlformats.org/markup-compatibility/2006">
      <mc:Choice Requires="x14">
        <control shapeId="1068" r:id="rId118" name="CommandButton处理主体配置">
          <controlPr defaultSize="0" autoPict="0" altText="" r:id="rId119">
            <anchor moveWithCells="1">
              <from>
                <xdr:col>14</xdr:col>
                <xdr:colOff>600075</xdr:colOff>
                <xdr:row>6</xdr:row>
                <xdr:rowOff>142875</xdr:rowOff>
              </from>
              <to>
                <xdr:col>16</xdr:col>
                <xdr:colOff>247650</xdr:colOff>
                <xdr:row>7</xdr:row>
                <xdr:rowOff>19050</xdr:rowOff>
              </to>
            </anchor>
          </controlPr>
        </control>
      </mc:Choice>
      <mc:Fallback>
        <control shapeId="1068" r:id="rId118" name="CommandButton处理主体配置"/>
      </mc:Fallback>
    </mc:AlternateContent>
    <mc:AlternateContent xmlns:mc="http://schemas.openxmlformats.org/markup-compatibility/2006">
      <mc:Choice Requires="x14">
        <control shapeId="1066" r:id="rId120" name="CommandButton特征加后缀">
          <controlPr defaultSize="0" autoPict="0" altText="" r:id="rId121">
            <anchor moveWithCells="1">
              <from>
                <xdr:col>13</xdr:col>
                <xdr:colOff>371475</xdr:colOff>
                <xdr:row>6</xdr:row>
                <xdr:rowOff>57150</xdr:rowOff>
              </from>
              <to>
                <xdr:col>14</xdr:col>
                <xdr:colOff>571500</xdr:colOff>
                <xdr:row>6</xdr:row>
                <xdr:rowOff>314325</xdr:rowOff>
              </to>
            </anchor>
          </controlPr>
        </control>
      </mc:Choice>
      <mc:Fallback>
        <control shapeId="1066" r:id="rId120" name="CommandButton特征加后缀"/>
      </mc:Fallback>
    </mc:AlternateContent>
    <mc:AlternateContent xmlns:mc="http://schemas.openxmlformats.org/markup-compatibility/2006">
      <mc:Choice Requires="x14">
        <control shapeId="1058" r:id="rId122" name="CommandButton重生成指定配置">
          <controlPr defaultSize="0" autoPict="0" altText="" r:id="rId123">
            <anchor moveWithCells="1">
              <from>
                <xdr:col>15</xdr:col>
                <xdr:colOff>476250</xdr:colOff>
                <xdr:row>5</xdr:row>
                <xdr:rowOff>47625</xdr:rowOff>
              </from>
              <to>
                <xdr:col>17</xdr:col>
                <xdr:colOff>247650</xdr:colOff>
                <xdr:row>6</xdr:row>
                <xdr:rowOff>66675</xdr:rowOff>
              </to>
            </anchor>
          </controlPr>
        </control>
      </mc:Choice>
      <mc:Fallback>
        <control shapeId="1058" r:id="rId122" name="CommandButton重生成指定配置"/>
      </mc:Fallback>
    </mc:AlternateContent>
    <mc:AlternateContent xmlns:mc="http://schemas.openxmlformats.org/markup-compatibility/2006">
      <mc:Choice Requires="x14">
        <control shapeId="1057" r:id="rId124" name="CommandButton坐标系配合">
          <controlPr defaultSize="0" autoPict="0" altText="" r:id="rId125">
            <anchor moveWithCells="1">
              <from>
                <xdr:col>13</xdr:col>
                <xdr:colOff>619125</xdr:colOff>
                <xdr:row>12</xdr:row>
                <xdr:rowOff>28575</xdr:rowOff>
              </from>
              <to>
                <xdr:col>16</xdr:col>
                <xdr:colOff>314325</xdr:colOff>
                <xdr:row>13</xdr:row>
                <xdr:rowOff>57150</xdr:rowOff>
              </to>
            </anchor>
          </controlPr>
        </control>
      </mc:Choice>
      <mc:Fallback>
        <control shapeId="1057" r:id="rId124" name="CommandButton坐标系配合"/>
      </mc:Fallback>
    </mc:AlternateContent>
    <mc:AlternateContent xmlns:mc="http://schemas.openxmlformats.org/markup-compatibility/2006">
      <mc:Choice Requires="x14">
        <control shapeId="1053" r:id="rId126" name="CommandButton1生成工程图">
          <controlPr defaultSize="0" autoPict="0" altText="" r:id="rId127">
            <anchor moveWithCells="1">
              <from>
                <xdr:col>2</xdr:col>
                <xdr:colOff>57150</xdr:colOff>
                <xdr:row>22</xdr:row>
                <xdr:rowOff>0</xdr:rowOff>
              </from>
              <to>
                <xdr:col>3</xdr:col>
                <xdr:colOff>228600</xdr:colOff>
                <xdr:row>23</xdr:row>
                <xdr:rowOff>85725</xdr:rowOff>
              </to>
            </anchor>
          </controlPr>
        </control>
      </mc:Choice>
      <mc:Fallback>
        <control shapeId="1053" r:id="rId126" name="CommandButton1生成工程图"/>
      </mc:Fallback>
    </mc:AlternateContent>
    <mc:AlternateContent xmlns:mc="http://schemas.openxmlformats.org/markup-compatibility/2006">
      <mc:Choice Requires="x14">
        <control shapeId="1040" r:id="rId128" name="CommandButton当前sw名称">
          <controlPr defaultSize="0" autoPict="0" altText="" r:id="rId129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1</xdr:col>
                <xdr:colOff>295275</xdr:colOff>
                <xdr:row>23</xdr:row>
                <xdr:rowOff>85725</xdr:rowOff>
              </to>
            </anchor>
          </controlPr>
        </control>
      </mc:Choice>
      <mc:Fallback>
        <control shapeId="1040" r:id="rId128" name="CommandButton当前sw名称"/>
      </mc:Fallback>
    </mc:AlternateContent>
    <mc:AlternateContent xmlns:mc="http://schemas.openxmlformats.org/markup-compatibility/2006">
      <mc:Choice Requires="x14">
        <control shapeId="1032" r:id="rId130" name="CommandButton插入坐标系_仅选择">
          <controlPr defaultSize="0" autoPict="0" altText="" r:id="rId131">
            <anchor moveWithCells="1">
              <from>
                <xdr:col>10</xdr:col>
                <xdr:colOff>438150</xdr:colOff>
                <xdr:row>12</xdr:row>
                <xdr:rowOff>19050</xdr:rowOff>
              </from>
              <to>
                <xdr:col>13</xdr:col>
                <xdr:colOff>95250</xdr:colOff>
                <xdr:row>13</xdr:row>
                <xdr:rowOff>47625</xdr:rowOff>
              </to>
            </anchor>
          </controlPr>
        </control>
      </mc:Choice>
      <mc:Fallback>
        <control shapeId="1032" r:id="rId130" name="CommandButton插入坐标系_仅选择"/>
      </mc:Fallback>
    </mc:AlternateContent>
    <mc:AlternateContent xmlns:mc="http://schemas.openxmlformats.org/markup-compatibility/2006">
      <mc:Choice Requires="x14">
        <control shapeId="1030" r:id="rId132" name="CommandButton更新外部参考">
          <controlPr defaultSize="0" autoPict="0" altText="" r:id="rId133">
            <anchor moveWithCells="1">
              <from>
                <xdr:col>15</xdr:col>
                <xdr:colOff>390525</xdr:colOff>
                <xdr:row>0</xdr:row>
                <xdr:rowOff>38100</xdr:rowOff>
              </from>
              <to>
                <xdr:col>17</xdr:col>
                <xdr:colOff>28575</xdr:colOff>
                <xdr:row>0</xdr:row>
                <xdr:rowOff>285750</xdr:rowOff>
              </to>
            </anchor>
          </controlPr>
        </control>
      </mc:Choice>
      <mc:Fallback>
        <control shapeId="1030" r:id="rId132" name="CommandButton更新外部参考"/>
      </mc:Fallback>
    </mc:AlternateContent>
    <mc:AlternateContent xmlns:mc="http://schemas.openxmlformats.org/markup-compatibility/2006">
      <mc:Choice Requires="x14">
        <control shapeId="1027" r:id="rId134" name="CommandButton等距曲面">
          <controlPr defaultSize="0" autoPict="0" altText="" r:id="rId135">
            <anchor moveWithCells="1">
              <from>
                <xdr:col>5</xdr:col>
                <xdr:colOff>9525</xdr:colOff>
                <xdr:row>12</xdr:row>
                <xdr:rowOff>19050</xdr:rowOff>
              </from>
              <to>
                <xdr:col>6</xdr:col>
                <xdr:colOff>47625</xdr:colOff>
                <xdr:row>13</xdr:row>
                <xdr:rowOff>47625</xdr:rowOff>
              </to>
            </anchor>
          </controlPr>
        </control>
      </mc:Choice>
      <mc:Fallback>
        <control shapeId="1027" r:id="rId134" name="CommandButton等距曲面"/>
      </mc:Fallback>
    </mc:AlternateContent>
    <mc:AlternateContent xmlns:mc="http://schemas.openxmlformats.org/markup-compatibility/2006">
      <mc:Choice Requires="x14">
        <control shapeId="1025" r:id="rId136" name="CommandButton中心线矩形">
          <controlPr defaultSize="0" autoPict="0" altText="" r:id="rId13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28575</xdr:colOff>
                <xdr:row>0</xdr:row>
                <xdr:rowOff>257175</xdr:rowOff>
              </to>
            </anchor>
          </controlPr>
        </control>
      </mc:Choice>
      <mc:Fallback>
        <control shapeId="1025" r:id="rId136" name="CommandButton中心线矩形"/>
      </mc:Fallback>
    </mc:AlternateContent>
    <mc:AlternateContent xmlns:mc="http://schemas.openxmlformats.org/markup-compatibility/2006">
      <mc:Choice Requires="x14">
        <control shapeId="1322" r:id="rId138" name="CheckBox重合原点2">
          <controlPr defaultSize="0" altText="" r:id="rId139">
            <anchor moveWithCells="1">
              <from>
                <xdr:col>5</xdr:col>
                <xdr:colOff>371475</xdr:colOff>
                <xdr:row>9</xdr:row>
                <xdr:rowOff>57150</xdr:rowOff>
              </from>
              <to>
                <xdr:col>6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322" r:id="rId138" name="CheckBox重合原点2"/>
      </mc:Fallback>
    </mc:AlternateContent>
    <mc:AlternateContent xmlns:mc="http://schemas.openxmlformats.org/markup-compatibility/2006">
      <mc:Choice Requires="x14">
        <control shapeId="1324" r:id="rId140" name="CommandButton1按草图建阵列">
          <controlPr defaultSize="0" altText="" r:id="rId141">
            <anchor moveWithCells="1">
              <from>
                <xdr:col>14</xdr:col>
                <xdr:colOff>28575</xdr:colOff>
                <xdr:row>9</xdr:row>
                <xdr:rowOff>57150</xdr:rowOff>
              </from>
              <to>
                <xdr:col>16</xdr:col>
                <xdr:colOff>85725</xdr:colOff>
                <xdr:row>11</xdr:row>
                <xdr:rowOff>133350</xdr:rowOff>
              </to>
            </anchor>
          </controlPr>
        </control>
      </mc:Choice>
      <mc:Fallback>
        <control shapeId="1324" r:id="rId140" name="CommandButton1按草图建阵列"/>
      </mc:Fallback>
    </mc:AlternateContent>
    <mc:AlternateContent xmlns:mc="http://schemas.openxmlformats.org/markup-compatibility/2006">
      <mc:Choice Requires="x14">
        <control shapeId="1325" r:id="rId142" name="CheckBox1从动">
          <controlPr defaultSize="0" autoPict="0" altText="" r:id="rId143">
            <anchor moveWithCells="1">
              <from>
                <xdr:col>1</xdr:col>
                <xdr:colOff>66675</xdr:colOff>
                <xdr:row>0</xdr:row>
                <xdr:rowOff>0</xdr:rowOff>
              </from>
              <to>
                <xdr:col>1</xdr:col>
                <xdr:colOff>609600</xdr:colOff>
                <xdr:row>0</xdr:row>
                <xdr:rowOff>200025</xdr:rowOff>
              </to>
            </anchor>
          </controlPr>
        </control>
      </mc:Choice>
      <mc:Fallback>
        <control shapeId="1325" r:id="rId142" name="CheckBox1从动"/>
      </mc:Fallback>
    </mc:AlternateContent>
    <mc:AlternateContent xmlns:mc="http://schemas.openxmlformats.org/markup-compatibility/2006">
      <mc:Choice Requires="x14">
        <control shapeId="1326" r:id="rId144" name="CheckBox1加点">
          <controlPr defaultSize="0" altText="" r:id="rId145">
            <anchor moveWithCells="1">
              <from>
                <xdr:col>1</xdr:col>
                <xdr:colOff>666750</xdr:colOff>
                <xdr:row>0</xdr:row>
                <xdr:rowOff>0</xdr:rowOff>
              </from>
              <to>
                <xdr:col>2</xdr:col>
                <xdr:colOff>419100</xdr:colOff>
                <xdr:row>0</xdr:row>
                <xdr:rowOff>161925</xdr:rowOff>
              </to>
            </anchor>
          </controlPr>
        </control>
      </mc:Choice>
      <mc:Fallback>
        <control shapeId="1326" r:id="rId144" name="CheckBox1加点"/>
      </mc:Fallback>
    </mc:AlternateContent>
    <mc:AlternateContent xmlns:mc="http://schemas.openxmlformats.org/markup-compatibility/2006">
      <mc:Choice Requires="x14">
        <control shapeId="1328" r:id="rId146" name="CommandButton1规格填往属性excel">
          <controlPr defaultSize="0" altText="" r:id="rId147">
            <anchor moveWithCells="1">
              <from>
                <xdr:col>5</xdr:col>
                <xdr:colOff>361950</xdr:colOff>
                <xdr:row>28</xdr:row>
                <xdr:rowOff>76200</xdr:rowOff>
              </from>
              <to>
                <xdr:col>6</xdr:col>
                <xdr:colOff>638175</xdr:colOff>
                <xdr:row>29</xdr:row>
                <xdr:rowOff>142875</xdr:rowOff>
              </to>
            </anchor>
          </controlPr>
        </control>
      </mc:Choice>
      <mc:Fallback>
        <control shapeId="1328" r:id="rId146" name="CommandButton1规格填往属性excel"/>
      </mc:Fallback>
    </mc:AlternateContent>
    <mc:AlternateContent xmlns:mc="http://schemas.openxmlformats.org/markup-compatibility/2006">
      <mc:Choice Requires="x14">
        <control shapeId="1331" r:id="rId148" name="CommandButton字体宽高比">
          <controlPr defaultSize="0" autoPict="0" altText="" r:id="rId149">
            <anchor moveWithCells="1">
              <from>
                <xdr:col>1</xdr:col>
                <xdr:colOff>628650</xdr:colOff>
                <xdr:row>24</xdr:row>
                <xdr:rowOff>57150</xdr:rowOff>
              </from>
              <to>
                <xdr:col>3</xdr:col>
                <xdr:colOff>161925</xdr:colOff>
                <xdr:row>25</xdr:row>
                <xdr:rowOff>142875</xdr:rowOff>
              </to>
            </anchor>
          </controlPr>
        </control>
      </mc:Choice>
      <mc:Fallback>
        <control shapeId="1331" r:id="rId148" name="CommandButton字体宽高比"/>
      </mc:Fallback>
    </mc:AlternateContent>
    <mc:AlternateContent xmlns:mc="http://schemas.openxmlformats.org/markup-compatibility/2006">
      <mc:Choice Requires="x14">
        <control shapeId="1333" r:id="rId150" name="CommandButton矩形板_库">
          <controlPr defaultSize="0" altText="" r:id="rId151">
            <anchor moveWithCells="1">
              <from>
                <xdr:col>8</xdr:col>
                <xdr:colOff>76200</xdr:colOff>
                <xdr:row>0</xdr:row>
                <xdr:rowOff>0</xdr:rowOff>
              </from>
              <to>
                <xdr:col>9</xdr:col>
                <xdr:colOff>28575</xdr:colOff>
                <xdr:row>0</xdr:row>
                <xdr:rowOff>276225</xdr:rowOff>
              </to>
            </anchor>
          </controlPr>
        </control>
      </mc:Choice>
      <mc:Fallback>
        <control shapeId="1333" r:id="rId150" name="CommandButton矩形板_库"/>
      </mc:Fallback>
    </mc:AlternateContent>
    <mc:AlternateContent xmlns:mc="http://schemas.openxmlformats.org/markup-compatibility/2006">
      <mc:Choice Requires="x14">
        <control shapeId="1247" r:id="rId152" name="Drop Down 223">
          <controlPr defaultSize="0" print="0" autoPict="0">
            <anchor moveWithCells="1" siz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89"/>
  <sheetViews>
    <sheetView zoomScale="145" zoomScaleNormal="145" workbookViewId="0">
      <selection activeCell="A4" sqref="A4"/>
    </sheetView>
  </sheetViews>
  <sheetFormatPr defaultColWidth="9" defaultRowHeight="13.5" x14ac:dyDescent="0.15"/>
  <cols>
    <col min="1" max="1" width="8.875" customWidth="1"/>
    <col min="2" max="2" width="19.75" customWidth="1"/>
    <col min="3" max="3" width="13.75" customWidth="1"/>
    <col min="5" max="5" width="15.125" customWidth="1"/>
    <col min="6" max="6" width="19.125" style="5" customWidth="1"/>
    <col min="7" max="7" width="12.25" customWidth="1"/>
  </cols>
  <sheetData>
    <row r="1" spans="1:15" x14ac:dyDescent="0.15">
      <c r="A1" s="6"/>
      <c r="B1" s="7" t="s">
        <v>57</v>
      </c>
      <c r="C1" s="8" t="s">
        <v>58</v>
      </c>
      <c r="D1" s="8" t="s">
        <v>59</v>
      </c>
      <c r="E1" s="8" t="s">
        <v>60</v>
      </c>
      <c r="F1" s="8" t="s">
        <v>61</v>
      </c>
      <c r="I1" s="8" t="s">
        <v>62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63</v>
      </c>
    </row>
    <row r="2" spans="1:15" x14ac:dyDescent="0.15">
      <c r="A2" s="9" t="str">
        <f>HYPERLINK(B2,"→")</f>
        <v>→</v>
      </c>
      <c r="B2" s="10" t="s">
        <v>64</v>
      </c>
      <c r="C2" s="11" t="s">
        <v>65</v>
      </c>
      <c r="D2" s="11" t="s">
        <v>66</v>
      </c>
      <c r="E2" s="11" t="s">
        <v>67</v>
      </c>
      <c r="F2" s="5" t="s">
        <v>68</v>
      </c>
      <c r="I2" t="s">
        <v>69</v>
      </c>
      <c r="L2" s="15" t="s">
        <v>15</v>
      </c>
      <c r="M2" s="15" t="s">
        <v>16</v>
      </c>
      <c r="N2" s="15" t="s">
        <v>17</v>
      </c>
      <c r="O2" s="16" t="s">
        <v>70</v>
      </c>
    </row>
    <row r="3" spans="1:15" x14ac:dyDescent="0.15">
      <c r="A3" s="7" t="s">
        <v>71</v>
      </c>
      <c r="B3" s="12" t="str">
        <f>sw公用路径&amp;"\文件模板"</f>
        <v>D:\00gyk\00sw公用\文件模板</v>
      </c>
      <c r="C3" s="11"/>
      <c r="D3" s="11" t="s">
        <v>72</v>
      </c>
      <c r="E3" s="11" t="s">
        <v>36</v>
      </c>
      <c r="F3" s="5" t="s">
        <v>73</v>
      </c>
      <c r="I3" t="s">
        <v>74</v>
      </c>
    </row>
    <row r="4" spans="1:15" ht="19.5" x14ac:dyDescent="0.15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75</v>
      </c>
      <c r="E4" s="11" t="s">
        <v>76</v>
      </c>
      <c r="I4" t="s">
        <v>77</v>
      </c>
    </row>
    <row r="5" spans="1:15" x14ac:dyDescent="0.15">
      <c r="D5" s="11"/>
      <c r="E5" s="11" t="s">
        <v>78</v>
      </c>
      <c r="I5" t="s">
        <v>79</v>
      </c>
    </row>
    <row r="6" spans="1:15" x14ac:dyDescent="0.15">
      <c r="E6" s="11" t="s">
        <v>80</v>
      </c>
      <c r="I6" t="s">
        <v>81</v>
      </c>
    </row>
    <row r="7" spans="1:15" x14ac:dyDescent="0.15">
      <c r="E7" s="11"/>
      <c r="I7" t="s">
        <v>82</v>
      </c>
    </row>
    <row r="8" spans="1:15" x14ac:dyDescent="0.15">
      <c r="I8" t="s">
        <v>83</v>
      </c>
    </row>
    <row r="9" spans="1:15" x14ac:dyDescent="0.15">
      <c r="I9" t="s">
        <v>84</v>
      </c>
    </row>
    <row r="10" spans="1:15" x14ac:dyDescent="0.15">
      <c r="I10" t="s">
        <v>85</v>
      </c>
    </row>
    <row r="11" spans="1:15" x14ac:dyDescent="0.15">
      <c r="I11" t="s">
        <v>86</v>
      </c>
    </row>
    <row r="12" spans="1:15" x14ac:dyDescent="0.15">
      <c r="I12" t="s">
        <v>87</v>
      </c>
    </row>
    <row r="13" spans="1:15" x14ac:dyDescent="0.15">
      <c r="I13" t="s">
        <v>88</v>
      </c>
    </row>
    <row r="14" spans="1:15" x14ac:dyDescent="0.15">
      <c r="I14" t="s">
        <v>89</v>
      </c>
    </row>
    <row r="15" spans="1:15" x14ac:dyDescent="0.15">
      <c r="I15" t="s">
        <v>90</v>
      </c>
    </row>
    <row r="16" spans="1:15" x14ac:dyDescent="0.15">
      <c r="C16" s="13"/>
      <c r="I16" t="s">
        <v>91</v>
      </c>
    </row>
    <row r="17" spans="2:9" x14ac:dyDescent="0.15">
      <c r="I17" t="s">
        <v>92</v>
      </c>
    </row>
    <row r="19" spans="2:9" x14ac:dyDescent="0.15">
      <c r="B19" s="14" t="s">
        <v>42</v>
      </c>
    </row>
    <row r="41" spans="6:6" x14ac:dyDescent="0.15">
      <c r="F41" s="5" t="s">
        <v>93</v>
      </c>
    </row>
    <row r="89" spans="6:6" x14ac:dyDescent="0.15">
      <c r="F89" s="5" t="s">
        <v>94</v>
      </c>
    </row>
  </sheetData>
  <phoneticPr fontId="20" type="noConversion"/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2051" r:id="rId3" name="CommandButton添加到sw搜索路径">
          <controlPr defaultSize="0" autoPict="0" altText="" r:id="rId4">
            <anchor moveWithCells="1">
              <from>
                <xdr:col>6</xdr:col>
                <xdr:colOff>38100</xdr:colOff>
                <xdr:row>3</xdr:row>
                <xdr:rowOff>57150</xdr:rowOff>
              </from>
              <to>
                <xdr:col>6</xdr:col>
                <xdr:colOff>914400</xdr:colOff>
                <xdr:row>4</xdr:row>
                <xdr:rowOff>95250</xdr:rowOff>
              </to>
            </anchor>
          </controlPr>
        </control>
      </mc:Choice>
      <mc:Fallback>
        <control shapeId="2051" r:id="rId3" name="CommandButton添加到sw搜索路径"/>
      </mc:Fallback>
    </mc:AlternateContent>
    <mc:AlternateContent xmlns:mc="http://schemas.openxmlformats.org/markup-compatibility/2006">
      <mc:Choice Requires="x14">
        <control shapeId="2050" r:id="rId5" name="CheckBox搜索子文件夹">
          <controlPr defaultSize="0" autoPict="0" altText="" r:id="rId6">
            <anchor moveWithCells="1">
              <from>
                <xdr:col>6</xdr:col>
                <xdr:colOff>47625</xdr:colOff>
                <xdr:row>1</xdr:row>
                <xdr:rowOff>152400</xdr:rowOff>
              </from>
              <to>
                <xdr:col>7</xdr:col>
                <xdr:colOff>76200</xdr:colOff>
                <xdr:row>3</xdr:row>
                <xdr:rowOff>0</xdr:rowOff>
              </to>
            </anchor>
          </controlPr>
        </control>
      </mc:Choice>
      <mc:Fallback>
        <control shapeId="2050" r:id="rId5" name="CheckBox搜索子文件夹"/>
      </mc:Fallback>
    </mc:AlternateContent>
    <mc:AlternateContent xmlns:mc="http://schemas.openxmlformats.org/markup-compatibility/2006">
      <mc:Choice Requires="x14">
        <control shapeId="2049" r:id="rId7" name="CommandButton列出文件夹">
          <controlPr defaultSize="0" autoPict="0" altText="" r:id="rId8">
            <anchor moveWithCells="1">
              <from>
                <xdr:col>6</xdr:col>
                <xdr:colOff>47625</xdr:colOff>
                <xdr:row>0</xdr:row>
                <xdr:rowOff>0</xdr:rowOff>
              </from>
              <to>
                <xdr:col>6</xdr:col>
                <xdr:colOff>923925</xdr:colOff>
                <xdr:row>1</xdr:row>
                <xdr:rowOff>85725</xdr:rowOff>
              </to>
            </anchor>
          </controlPr>
        </control>
      </mc:Choice>
      <mc:Fallback>
        <control shapeId="2049" r:id="rId7" name="CommandButton列出文件夹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3.5" x14ac:dyDescent="0.15"/>
  <cols>
    <col min="1" max="12" width="8.625" style="3" customWidth="1"/>
    <col min="13" max="16384" width="9" style="3"/>
  </cols>
  <sheetData>
    <row r="1" spans="1:12" s="1" customFormat="1" ht="54" x14ac:dyDescent="0.15">
      <c r="A1" s="1" t="s">
        <v>95</v>
      </c>
      <c r="B1" s="1" t="s">
        <v>96</v>
      </c>
      <c r="C1" s="1" t="s">
        <v>97</v>
      </c>
      <c r="D1" s="1" t="s">
        <v>98</v>
      </c>
      <c r="E1" s="1" t="s">
        <v>99</v>
      </c>
      <c r="F1" s="1" t="s">
        <v>100</v>
      </c>
      <c r="G1" s="4" t="s">
        <v>101</v>
      </c>
      <c r="H1" s="1" t="s">
        <v>102</v>
      </c>
      <c r="I1" s="4" t="s">
        <v>103</v>
      </c>
      <c r="J1" s="1" t="s">
        <v>104</v>
      </c>
      <c r="K1" s="1" t="s">
        <v>105</v>
      </c>
      <c r="L1" s="1" t="s">
        <v>106</v>
      </c>
    </row>
    <row r="2" spans="1:12" x14ac:dyDescent="0.15">
      <c r="A2" s="3" t="s">
        <v>107</v>
      </c>
      <c r="B2" s="3">
        <v>5</v>
      </c>
      <c r="C2" s="3">
        <v>5</v>
      </c>
      <c r="D2" s="3" t="s">
        <v>108</v>
      </c>
      <c r="E2" s="3" t="s">
        <v>109</v>
      </c>
      <c r="F2" s="3">
        <v>0.02</v>
      </c>
      <c r="G2" s="3">
        <v>3</v>
      </c>
      <c r="H2" s="3" t="s">
        <v>110</v>
      </c>
      <c r="I2" s="3">
        <v>2.2999999999999998</v>
      </c>
      <c r="J2" s="3" t="s">
        <v>110</v>
      </c>
      <c r="K2" s="3">
        <v>0.16</v>
      </c>
      <c r="L2" s="3">
        <v>0.25</v>
      </c>
    </row>
    <row r="3" spans="1:12" x14ac:dyDescent="0.15">
      <c r="A3" s="3" t="s">
        <v>111</v>
      </c>
      <c r="B3" s="3">
        <v>6</v>
      </c>
      <c r="C3" s="3">
        <v>6</v>
      </c>
      <c r="D3" s="3" t="s">
        <v>108</v>
      </c>
      <c r="E3" s="3" t="s">
        <v>112</v>
      </c>
      <c r="F3" s="3">
        <v>2.8000000000000001E-2</v>
      </c>
      <c r="G3" s="3">
        <v>3.5</v>
      </c>
      <c r="H3" s="3" t="s">
        <v>113</v>
      </c>
      <c r="I3" s="3">
        <v>2.8</v>
      </c>
      <c r="J3" s="3" t="s">
        <v>113</v>
      </c>
      <c r="K3" s="3">
        <v>0.16</v>
      </c>
      <c r="L3" s="3">
        <v>0.25</v>
      </c>
    </row>
    <row r="4" spans="1:12" x14ac:dyDescent="0.15">
      <c r="A4" s="3" t="s">
        <v>114</v>
      </c>
      <c r="B4" s="3">
        <v>8</v>
      </c>
      <c r="C4" s="3">
        <v>7</v>
      </c>
      <c r="D4" s="3" t="s">
        <v>108</v>
      </c>
      <c r="E4" s="3" t="s">
        <v>115</v>
      </c>
      <c r="F4" s="3">
        <v>4.3999999999999997E-2</v>
      </c>
      <c r="G4" s="3">
        <v>4</v>
      </c>
      <c r="H4" s="3" t="s">
        <v>113</v>
      </c>
      <c r="I4" s="3">
        <v>3.3</v>
      </c>
      <c r="J4" s="3" t="s">
        <v>113</v>
      </c>
      <c r="K4" s="3">
        <v>0.16</v>
      </c>
      <c r="L4" s="3">
        <v>0.25</v>
      </c>
    </row>
    <row r="5" spans="1:12" x14ac:dyDescent="0.15">
      <c r="A5" s="3" t="s">
        <v>116</v>
      </c>
      <c r="B5" s="3">
        <v>10</v>
      </c>
      <c r="C5" s="3">
        <v>8</v>
      </c>
      <c r="D5" s="3" t="s">
        <v>117</v>
      </c>
      <c r="E5" s="3" t="s">
        <v>118</v>
      </c>
      <c r="F5" s="3">
        <v>6.3E-2</v>
      </c>
      <c r="G5" s="3">
        <v>5</v>
      </c>
      <c r="H5" s="3" t="s">
        <v>113</v>
      </c>
      <c r="I5" s="3">
        <v>3.3</v>
      </c>
      <c r="J5" s="3" t="s">
        <v>113</v>
      </c>
      <c r="K5" s="3">
        <v>0.25</v>
      </c>
      <c r="L5" s="3">
        <v>0.4</v>
      </c>
    </row>
    <row r="6" spans="1:12" x14ac:dyDescent="0.15">
      <c r="A6" s="3" t="s">
        <v>119</v>
      </c>
      <c r="B6" s="3">
        <v>12</v>
      </c>
      <c r="C6" s="3">
        <v>8</v>
      </c>
      <c r="D6" s="3" t="s">
        <v>117</v>
      </c>
      <c r="E6" s="3" t="s">
        <v>120</v>
      </c>
      <c r="F6" s="3">
        <v>7.4999999999999997E-2</v>
      </c>
      <c r="G6" s="3">
        <v>5</v>
      </c>
      <c r="H6" s="3" t="s">
        <v>113</v>
      </c>
      <c r="I6" s="3">
        <v>3.3</v>
      </c>
      <c r="J6" s="3" t="s">
        <v>113</v>
      </c>
      <c r="K6" s="3">
        <v>0.25</v>
      </c>
      <c r="L6" s="3">
        <v>0.4</v>
      </c>
    </row>
    <row r="7" spans="1:12" x14ac:dyDescent="0.15">
      <c r="A7" s="3" t="s">
        <v>121</v>
      </c>
      <c r="B7" s="3">
        <v>14</v>
      </c>
      <c r="C7" s="3">
        <v>9</v>
      </c>
      <c r="D7" s="3" t="s">
        <v>117</v>
      </c>
      <c r="E7" s="3" t="s">
        <v>122</v>
      </c>
      <c r="F7" s="3">
        <v>9.9000000000000005E-2</v>
      </c>
      <c r="G7" s="3">
        <v>5.5</v>
      </c>
      <c r="H7" s="3" t="s">
        <v>113</v>
      </c>
      <c r="I7" s="3">
        <v>3.8</v>
      </c>
      <c r="J7" s="3" t="s">
        <v>113</v>
      </c>
      <c r="K7" s="3">
        <v>0.25</v>
      </c>
      <c r="L7" s="3">
        <v>0.4</v>
      </c>
    </row>
    <row r="9" spans="1:12" s="1" customFormat="1" ht="26.25" customHeight="1" x14ac:dyDescent="0.15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3.5" x14ac:dyDescent="0.15"/>
  <cols>
    <col min="1" max="15" width="7.625" style="3" customWidth="1"/>
    <col min="16" max="16" width="8.625" style="3" customWidth="1"/>
    <col min="17" max="16384" width="9" style="3"/>
  </cols>
  <sheetData>
    <row r="1" spans="1:15" s="1" customFormat="1" ht="54" x14ac:dyDescent="0.15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128</v>
      </c>
      <c r="G1" s="1" t="s">
        <v>129</v>
      </c>
      <c r="H1" s="1" t="s">
        <v>130</v>
      </c>
      <c r="I1" s="4" t="s">
        <v>131</v>
      </c>
      <c r="J1" s="1" t="s">
        <v>132</v>
      </c>
      <c r="K1" s="4" t="s">
        <v>133</v>
      </c>
      <c r="L1" s="1" t="s">
        <v>134</v>
      </c>
      <c r="M1" s="4" t="s">
        <v>135</v>
      </c>
      <c r="N1" s="1" t="s">
        <v>136</v>
      </c>
      <c r="O1" s="1" t="s">
        <v>137</v>
      </c>
    </row>
    <row r="2" spans="1:15" s="2" customFormat="1" x14ac:dyDescent="0.15">
      <c r="A2" s="2">
        <v>15</v>
      </c>
      <c r="B2" s="2">
        <v>13.8</v>
      </c>
      <c r="C2" s="2" t="s">
        <v>138</v>
      </c>
      <c r="D2" s="2">
        <v>1</v>
      </c>
      <c r="E2" s="2" t="s">
        <v>139</v>
      </c>
      <c r="F2" s="2">
        <v>1.7</v>
      </c>
      <c r="G2" s="3">
        <v>2</v>
      </c>
      <c r="H2" s="3">
        <v>2</v>
      </c>
      <c r="I2" s="3">
        <v>14.3</v>
      </c>
      <c r="J2" s="3" t="s">
        <v>140</v>
      </c>
      <c r="K2" s="3">
        <v>1.1000000000000001</v>
      </c>
      <c r="L2" s="3" t="s">
        <v>141</v>
      </c>
      <c r="M2" s="3">
        <v>1.1000000000000001</v>
      </c>
      <c r="N2" s="3">
        <v>23.2</v>
      </c>
      <c r="O2" s="3">
        <v>0.67</v>
      </c>
    </row>
    <row r="3" spans="1:15" s="2" customFormat="1" x14ac:dyDescent="0.15">
      <c r="A3" s="2">
        <v>25</v>
      </c>
      <c r="B3" s="2">
        <v>23.2</v>
      </c>
      <c r="C3" s="2" t="s">
        <v>142</v>
      </c>
      <c r="D3" s="2">
        <v>1.2</v>
      </c>
      <c r="E3" s="2" t="s">
        <v>139</v>
      </c>
      <c r="F3" s="2">
        <v>2</v>
      </c>
      <c r="G3" s="2">
        <v>3.32</v>
      </c>
      <c r="H3" s="2">
        <v>3.32</v>
      </c>
      <c r="I3" s="2">
        <v>23.9</v>
      </c>
      <c r="J3" s="2" t="s">
        <v>143</v>
      </c>
      <c r="K3" s="2">
        <v>1.3</v>
      </c>
      <c r="L3" s="2" t="s">
        <v>141</v>
      </c>
      <c r="M3" s="2">
        <v>1.7</v>
      </c>
      <c r="N3" s="2">
        <v>35</v>
      </c>
      <c r="O3" s="2">
        <v>1.9</v>
      </c>
    </row>
    <row r="4" spans="1:15" s="2" customFormat="1" x14ac:dyDescent="0.15">
      <c r="A4" s="2">
        <v>30</v>
      </c>
      <c r="B4" s="2">
        <v>27.9</v>
      </c>
      <c r="C4" s="2" t="s">
        <v>144</v>
      </c>
      <c r="D4" s="2">
        <v>1.2</v>
      </c>
      <c r="E4" s="2" t="s">
        <v>145</v>
      </c>
      <c r="F4" s="2">
        <v>2</v>
      </c>
      <c r="G4" s="2">
        <v>3.72</v>
      </c>
      <c r="H4" s="2">
        <v>3.72</v>
      </c>
      <c r="I4" s="2">
        <v>28.6</v>
      </c>
      <c r="J4" s="2" t="s">
        <v>146</v>
      </c>
      <c r="K4" s="2">
        <v>1.3</v>
      </c>
      <c r="L4" s="2" t="s">
        <v>147</v>
      </c>
      <c r="M4" s="2">
        <v>2.1</v>
      </c>
      <c r="N4" s="2">
        <v>42</v>
      </c>
      <c r="O4" s="2">
        <v>3.32</v>
      </c>
    </row>
    <row r="5" spans="1:15" s="2" customFormat="1" x14ac:dyDescent="0.15">
      <c r="A5" s="2">
        <v>45</v>
      </c>
      <c r="B5" s="2">
        <v>41.5</v>
      </c>
      <c r="C5" s="2" t="s">
        <v>148</v>
      </c>
      <c r="D5" s="2">
        <v>1.5</v>
      </c>
      <c r="E5" s="2" t="s">
        <v>149</v>
      </c>
      <c r="F5" s="2">
        <v>3</v>
      </c>
      <c r="G5" s="2">
        <v>5</v>
      </c>
      <c r="H5" s="2">
        <v>5</v>
      </c>
      <c r="I5" s="2">
        <v>42.5</v>
      </c>
      <c r="J5" s="2" t="s">
        <v>150</v>
      </c>
      <c r="K5" s="2">
        <v>1.7</v>
      </c>
      <c r="L5" s="2" t="s">
        <v>141</v>
      </c>
      <c r="M5" s="2">
        <v>3.8</v>
      </c>
      <c r="N5" s="2">
        <v>59.4</v>
      </c>
      <c r="O5" s="2">
        <v>7.6</v>
      </c>
    </row>
    <row r="6" spans="1:15" s="2" customFormat="1" x14ac:dyDescent="0.15">
      <c r="A6" s="2">
        <v>85</v>
      </c>
      <c r="B6" s="2">
        <v>79.5</v>
      </c>
      <c r="C6" s="2" t="s">
        <v>151</v>
      </c>
      <c r="D6" s="2">
        <v>2.5</v>
      </c>
      <c r="E6" s="2" t="s">
        <v>152</v>
      </c>
      <c r="F6" s="2">
        <v>3</v>
      </c>
      <c r="G6" s="2">
        <v>7</v>
      </c>
      <c r="H6" s="2">
        <v>7</v>
      </c>
      <c r="I6" s="2">
        <v>81.5</v>
      </c>
      <c r="J6" s="2" t="s">
        <v>153</v>
      </c>
      <c r="K6" s="2">
        <v>2.7</v>
      </c>
      <c r="L6" s="2" t="s">
        <v>141</v>
      </c>
      <c r="M6" s="2">
        <v>5.3</v>
      </c>
      <c r="N6" s="2">
        <v>104</v>
      </c>
      <c r="O6" s="2">
        <v>30.3</v>
      </c>
    </row>
    <row r="8" spans="1:15" s="1" customFormat="1" ht="54" x14ac:dyDescent="0.15">
      <c r="A8" s="1" t="s">
        <v>154</v>
      </c>
      <c r="B8" s="1" t="s">
        <v>155</v>
      </c>
      <c r="C8" s="1" t="s">
        <v>156</v>
      </c>
      <c r="D8" s="1" t="s">
        <v>126</v>
      </c>
      <c r="E8" s="1" t="s">
        <v>127</v>
      </c>
      <c r="F8" s="1" t="s">
        <v>128</v>
      </c>
      <c r="G8" s="1" t="s">
        <v>129</v>
      </c>
      <c r="I8" s="4" t="s">
        <v>131</v>
      </c>
      <c r="J8" s="1" t="s">
        <v>132</v>
      </c>
      <c r="K8" s="4" t="s">
        <v>133</v>
      </c>
      <c r="L8" s="1" t="s">
        <v>134</v>
      </c>
      <c r="M8" s="4" t="s">
        <v>135</v>
      </c>
      <c r="N8" s="1" t="s">
        <v>157</v>
      </c>
      <c r="O8" s="1" t="s">
        <v>158</v>
      </c>
    </row>
    <row r="9" spans="1:15" s="2" customFormat="1" x14ac:dyDescent="0.15">
      <c r="A9" s="2">
        <v>85</v>
      </c>
      <c r="B9" s="2">
        <v>90.5</v>
      </c>
      <c r="C9" s="2" t="s">
        <v>159</v>
      </c>
      <c r="D9" s="2">
        <v>2.5</v>
      </c>
      <c r="E9" s="2" t="s">
        <v>152</v>
      </c>
      <c r="F9" s="2">
        <v>3</v>
      </c>
      <c r="G9" s="2">
        <v>6.8</v>
      </c>
      <c r="I9" s="2">
        <v>88.5</v>
      </c>
      <c r="J9" s="2" t="s">
        <v>160</v>
      </c>
      <c r="K9" s="2">
        <v>2.7</v>
      </c>
      <c r="L9" s="2" t="s">
        <v>141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2018-04-17T00:32:00Z</cp:lastPrinted>
  <dcterms:created xsi:type="dcterms:W3CDTF">2017-09-21T05:58:00Z</dcterms:created>
  <dcterms:modified xsi:type="dcterms:W3CDTF">2020-06-19T12:02:55Z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