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480" yWindow="150" windowWidth="21840" windowHeight="12240" tabRatio="789" activeTab="4"/>
  </bookViews>
  <sheets>
    <sheet name="层次BOM" sheetId="1" r:id="rId1"/>
    <sheet name="原材料分项表" sheetId="12" r:id="rId2"/>
    <sheet name="原材料汇总表" sheetId="5" r:id="rId3"/>
    <sheet name="全汇总BOM" sheetId="3" r:id="rId4"/>
    <sheet name="加工件汇总表" sheetId="18" r:id="rId5"/>
    <sheet name="外购件及标准件汇总表" sheetId="7" r:id="rId6"/>
    <sheet name="企标件汇总表" sheetId="11" r:id="rId7"/>
    <sheet name="激光下料汇总表" sheetId="15" r:id="rId8"/>
    <sheet name="图纸下发清单" sheetId="16" r:id="rId9"/>
    <sheet name="Sheet2=设置页" sheetId="14" r:id="rId10"/>
  </sheets>
  <functionGroups builtInGroupCount="18"/>
  <externalReferences>
    <externalReference r:id="rId11"/>
  </externalReferences>
  <definedNames>
    <definedName name="_xlnm._FilterDatabase" localSheetId="0" hidden="1">层次BOM!$A$2:$W$574</definedName>
    <definedName name="_xlnm._FilterDatabase" localSheetId="7" hidden="1">激光下料汇总表!$A$2:$J$2</definedName>
    <definedName name="_xlnm._FilterDatabase" localSheetId="4" hidden="1">加工件汇总表!$B$2:$I$2</definedName>
    <definedName name="_xlnm._FilterDatabase" localSheetId="6" hidden="1">企标件汇总表!$B$2:$J$2</definedName>
    <definedName name="_xlnm._FilterDatabase" localSheetId="8" hidden="1">图纸下发清单!$A$3:$J$3</definedName>
    <definedName name="_xlnm._FilterDatabase" localSheetId="5" hidden="1">外购件及标准件汇总表!$B$2:$I$2</definedName>
    <definedName name="_xlnm._FilterDatabase" localSheetId="1" hidden="1">原材料分项表!$A$2:$O$334</definedName>
    <definedName name="_xlnm._FilterDatabase" localSheetId="2" hidden="1">原材料汇总表!$A$2:$O$2</definedName>
    <definedName name="bom模板">'Sheet2=设置页'!$F$2</definedName>
    <definedName name="板厚或截面标记" localSheetId="2">原材料汇总表!$H$2</definedName>
    <definedName name="表头行">层次BOM!$A$2</definedName>
    <definedName name="材料" localSheetId="2">原材料汇总表!$F$2</definedName>
    <definedName name="代号">层次BOM!$D$2</definedName>
    <definedName name="顶层代号">层次BOM!$D$3</definedName>
    <definedName name="顶层名称">层次BOM!$E$3</definedName>
    <definedName name="规格">层次BOM!$F$2</definedName>
    <definedName name="激光下料汇总表标题" localSheetId="7">激光下料汇总表!$A$1</definedName>
    <definedName name="激活sw窗口方式">'Sheet2=设置页'!$A$2</definedName>
    <definedName name="计价单位" localSheetId="2">原材料汇总表!$K$2</definedName>
    <definedName name="加工件黑名单">'Sheet2=设置页'!$C$2:$C$5</definedName>
    <definedName name="加工件汇总表标题">加工件汇总表!$A$1</definedName>
    <definedName name="类别">层次BOM!$J$2</definedName>
    <definedName name="名称">层次BOM!$E$2</definedName>
    <definedName name="配置名称">层次BOM!$C$2</definedName>
    <definedName name="企标件汇总表标题">企标件汇总表!$A$1</definedName>
    <definedName name="全汇总BOM标题">全汇总BOM!$B$1</definedName>
    <definedName name="图纸下发清单标题">图纸下发清单!$A$2</definedName>
    <definedName name="外购件黑名单">'Sheet2=设置页'!$D$2:$D$5</definedName>
    <definedName name="外购件及标准件汇总表标题">外购件及标准件汇总表!$A$1</definedName>
    <definedName name="外购件名称关键词">'Sheet2=设置页'!$E$2:$E$10</definedName>
    <definedName name="文件路径">层次BOM!$N$2</definedName>
    <definedName name="文件名称">层次BOM!$B$2</definedName>
    <definedName name="项目号">层次BOM!$A$2</definedName>
    <definedName name="序号" localSheetId="2">原材料汇总表!$A$2</definedName>
    <definedName name="原材料分项表标题">原材料分项表!$A$1</definedName>
    <definedName name="原材料汇总标题">原材料汇总表!$A$1</definedName>
    <definedName name="原材料汇总表标题">原材料汇总表!$A$1</definedName>
    <definedName name="原材料名称" localSheetId="2">原材料汇总表!$E$2</definedName>
    <definedName name="原材料名称">'Sheet2=设置页'!$B$2:$B$17</definedName>
    <definedName name="原材料名称列表">'[1]Sheet2=设置页'!$G$2:$G$14</definedName>
    <definedName name="主代号">层次BOM!$D$3</definedName>
    <definedName name="主名称">层次BOM!$E$3</definedName>
    <definedName name="装配体">层次BOM!$B$3</definedName>
    <definedName name="总计" localSheetId="2">原材料汇总表!$I$2</definedName>
  </definedNames>
  <calcPr calcId="152511"/>
</workbook>
</file>

<file path=xl/calcChain.xml><?xml version="1.0" encoding="utf-8"?>
<calcChain xmlns="http://schemas.openxmlformats.org/spreadsheetml/2006/main">
  <c r="Q27" i="1" l="1"/>
  <c r="Q13" i="1"/>
  <c r="O6" i="5" l="1"/>
  <c r="O4" i="5"/>
  <c r="N14" i="5"/>
  <c r="O14" i="5" s="1"/>
  <c r="O3" i="5"/>
  <c r="O7" i="5" l="1"/>
  <c r="O12" i="5" l="1"/>
  <c r="O11" i="5"/>
  <c r="O8" i="5"/>
  <c r="O5" i="5"/>
  <c r="O15" i="5"/>
  <c r="O16" i="5"/>
  <c r="O17" i="5"/>
  <c r="N9" i="5" l="1"/>
  <c r="O9" i="5" s="1"/>
</calcChain>
</file>

<file path=xl/sharedStrings.xml><?xml version="1.0" encoding="utf-8"?>
<sst xmlns="http://schemas.openxmlformats.org/spreadsheetml/2006/main" count="2251" uniqueCount="1061">
  <si>
    <t>规格</t>
  </si>
  <si>
    <t>每套数量</t>
    <phoneticPr fontId="3" type="noConversion"/>
  </si>
  <si>
    <t>备注</t>
  </si>
  <si>
    <t>面积或长度</t>
    <phoneticPr fontId="3" type="noConversion"/>
  </si>
  <si>
    <t>计价单位</t>
    <phoneticPr fontId="3" type="noConversion"/>
  </si>
  <si>
    <t>Q235-A</t>
  </si>
  <si>
    <t>代号</t>
    <phoneticPr fontId="1" type="noConversion"/>
  </si>
  <si>
    <t>名称</t>
    <phoneticPr fontId="1" type="noConversion"/>
  </si>
  <si>
    <t>序号</t>
    <phoneticPr fontId="1" type="noConversion"/>
  </si>
  <si>
    <t>原材料名称</t>
    <phoneticPr fontId="3" type="noConversion"/>
  </si>
  <si>
    <t>材料</t>
    <phoneticPr fontId="1" type="noConversion"/>
  </si>
  <si>
    <t>原材料名称</t>
    <phoneticPr fontId="1" type="noConversion"/>
  </si>
  <si>
    <t>每台数量</t>
    <phoneticPr fontId="3" type="noConversion"/>
  </si>
  <si>
    <t>重量</t>
    <phoneticPr fontId="1" type="noConversion"/>
  </si>
  <si>
    <t>板厚或截面标记</t>
    <phoneticPr fontId="3" type="noConversion"/>
  </si>
  <si>
    <t>小计</t>
    <phoneticPr fontId="1" type="noConversion"/>
  </si>
  <si>
    <t>原材料总计</t>
    <phoneticPr fontId="1" type="noConversion"/>
  </si>
  <si>
    <t>总计</t>
    <phoneticPr fontId="1" type="noConversion"/>
  </si>
  <si>
    <t>序号</t>
    <phoneticPr fontId="1" type="noConversion"/>
  </si>
  <si>
    <t>代号</t>
    <phoneticPr fontId="1" type="noConversion"/>
  </si>
  <si>
    <t>名称</t>
    <phoneticPr fontId="1" type="noConversion"/>
  </si>
  <si>
    <t>数量</t>
    <phoneticPr fontId="3" type="noConversion"/>
  </si>
  <si>
    <t>材料</t>
    <phoneticPr fontId="1" type="noConversion"/>
  </si>
  <si>
    <t>单重</t>
    <phoneticPr fontId="1" type="noConversion"/>
  </si>
  <si>
    <t>类别</t>
    <phoneticPr fontId="1" type="noConversion"/>
  </si>
  <si>
    <t>数量</t>
    <phoneticPr fontId="3" type="noConversion"/>
  </si>
  <si>
    <t>单重</t>
    <phoneticPr fontId="1" type="noConversion"/>
  </si>
  <si>
    <t>激活sw窗口方式</t>
    <phoneticPr fontId="1" type="noConversion"/>
  </si>
  <si>
    <t>侧板</t>
  </si>
  <si>
    <t>角钢</t>
  </si>
  <si>
    <t>钢板</t>
  </si>
  <si>
    <t>480X159厚10</t>
  </si>
  <si>
    <t>explorer.exe</t>
  </si>
  <si>
    <t>MND-1030P11-2.4.1.7-1</t>
  </si>
  <si>
    <t>主体板</t>
  </si>
  <si>
    <t>850X656.85厚10</t>
  </si>
  <si>
    <t>MND-1030P11-2.4.1.7-2</t>
  </si>
  <si>
    <t>层级代号</t>
    <phoneticPr fontId="1" type="noConversion"/>
  </si>
  <si>
    <t>总重</t>
    <phoneticPr fontId="1" type="noConversion"/>
  </si>
  <si>
    <t xml:space="preserve">    美弗莱机械设备（惠州）有限公司</t>
    <phoneticPr fontId="15" type="noConversion"/>
  </si>
  <si>
    <t>序号</t>
    <phoneticPr fontId="15" type="noConversion"/>
  </si>
  <si>
    <t>名称</t>
    <phoneticPr fontId="15" type="noConversion"/>
  </si>
  <si>
    <t>图纸数量</t>
    <phoneticPr fontId="15" type="noConversion"/>
  </si>
  <si>
    <t>工程部</t>
    <phoneticPr fontId="15" type="noConversion"/>
  </si>
  <si>
    <t>生产部</t>
    <phoneticPr fontId="15" type="noConversion"/>
  </si>
  <si>
    <t>图纸下发日期</t>
    <phoneticPr fontId="15" type="noConversion"/>
  </si>
  <si>
    <t>图纸回收日期</t>
    <phoneticPr fontId="15" type="noConversion"/>
  </si>
  <si>
    <t>备注</t>
    <phoneticPr fontId="15" type="noConversion"/>
  </si>
  <si>
    <t>代号</t>
    <phoneticPr fontId="15" type="noConversion"/>
  </si>
  <si>
    <t>厚10</t>
  </si>
  <si>
    <t>MND-1030P11-2.4.4</t>
  </si>
  <si>
    <t>清理室内门</t>
  </si>
  <si>
    <t>MND-1030P11-2.4.5</t>
  </si>
  <si>
    <t>辊轴部件</t>
  </si>
  <si>
    <t>辊轴</t>
  </si>
  <si>
    <t>轴头</t>
  </si>
  <si>
    <t>密封套</t>
  </si>
  <si>
    <t>MND-1030P11-2.4.5.3</t>
  </si>
  <si>
    <t>盘</t>
  </si>
  <si>
    <t>MND-1030P11-2.4.5.4</t>
  </si>
  <si>
    <t>辊轴安装板</t>
  </si>
  <si>
    <t>MND-1030P11-2</t>
  </si>
  <si>
    <t>MND-1030P11-2.4.10-1</t>
  </si>
  <si>
    <t>检修盖板体</t>
  </si>
  <si>
    <t>MND-1030P11-2.4.11</t>
  </si>
  <si>
    <t>密封室检修门部件</t>
  </si>
  <si>
    <t>MND-1030P11-2.4.11.4</t>
  </si>
  <si>
    <t>门卡</t>
  </si>
  <si>
    <t>MND-1030P11-2.4.13.0</t>
  </si>
  <si>
    <t>抛丸室挡杆部件</t>
  </si>
  <si>
    <t>MND-1030P11-2.4.13-1</t>
  </si>
  <si>
    <t>挡杆板</t>
  </si>
  <si>
    <t>MND-1030P11-2.4.13-2</t>
  </si>
  <si>
    <t>挡杆</t>
  </si>
  <si>
    <t>MND-1030P11-2.4.13-3</t>
  </si>
  <si>
    <t>配焊块</t>
  </si>
  <si>
    <t>MND-1030P11-2.4.14.0</t>
  </si>
  <si>
    <t>后封板</t>
  </si>
  <si>
    <t>编号</t>
    <phoneticPr fontId="1" type="noConversion"/>
  </si>
  <si>
    <t>至顶级数量</t>
    <phoneticPr fontId="1" type="noConversion"/>
  </si>
  <si>
    <t>每台数量</t>
    <phoneticPr fontId="3" type="noConversion"/>
  </si>
  <si>
    <t>板厚或截面标记</t>
    <phoneticPr fontId="3" type="noConversion"/>
  </si>
  <si>
    <t>面积或长度</t>
    <phoneticPr fontId="3" type="noConversion"/>
  </si>
  <si>
    <t>计价单位</t>
    <phoneticPr fontId="3" type="noConversion"/>
  </si>
  <si>
    <t>小计</t>
    <phoneticPr fontId="1" type="noConversion"/>
  </si>
  <si>
    <t>原材料编号</t>
    <phoneticPr fontId="1" type="noConversion"/>
  </si>
  <si>
    <t>原材料总计</t>
    <phoneticPr fontId="1" type="noConversion"/>
  </si>
  <si>
    <t>层级代号</t>
    <phoneticPr fontId="1" type="noConversion"/>
  </si>
  <si>
    <t>MND-1030P11-2.4.2</t>
  </si>
  <si>
    <t>抛丸室护板部件</t>
  </si>
  <si>
    <t>MND-1030P11-2.4.2-01</t>
  </si>
  <si>
    <t>顶角板</t>
  </si>
  <si>
    <t>Mn13</t>
  </si>
  <si>
    <t>MND-1030P11-2.4.2-02</t>
  </si>
  <si>
    <t>中间压板</t>
  </si>
  <si>
    <t>MND-1030P11-2.4.2-03</t>
  </si>
  <si>
    <t>上护板</t>
  </si>
  <si>
    <t>MND-1030P11-2.4.2-04</t>
  </si>
  <si>
    <t>下护板</t>
  </si>
  <si>
    <t>MND-1030P11-2.4.2-05</t>
  </si>
  <si>
    <t>侧护板</t>
  </si>
  <si>
    <t>MND-1030P11-2.4.2-06</t>
  </si>
  <si>
    <t>侧压板</t>
  </si>
  <si>
    <t>MND-1030P11-2.4.2-07</t>
  </si>
  <si>
    <t>下侧护板</t>
  </si>
  <si>
    <t>MND-1030P11-2.4.2-08</t>
  </si>
  <si>
    <t>下压板</t>
  </si>
  <si>
    <t>MND-1030P11-2.4.2-09</t>
  </si>
  <si>
    <t>下侧压板</t>
  </si>
  <si>
    <t>MND-1030P11-2.4.2-10</t>
  </si>
  <si>
    <t>顶部槽形护板</t>
  </si>
  <si>
    <t>MND-1030P11-2.4.2-11A</t>
  </si>
  <si>
    <t>顶短护板</t>
  </si>
  <si>
    <t>MND-1030P11-2.4.2-12</t>
  </si>
  <si>
    <t>顶部侧护板</t>
  </si>
  <si>
    <t>MND-1030P11-2.4.2-13</t>
  </si>
  <si>
    <t>顶长压条</t>
  </si>
  <si>
    <t>MND-1030P11-2.4.2-14.0</t>
  </si>
  <si>
    <t>抛头护板</t>
  </si>
  <si>
    <t>焊件</t>
  </si>
  <si>
    <t>MND-1030P11-2.4.2-14.1</t>
  </si>
  <si>
    <t>MND-1030P11-2.4.2-14.2</t>
  </si>
  <si>
    <t>458X167厚10</t>
  </si>
  <si>
    <t>MND-1030P11-2.4.2-15</t>
  </si>
  <si>
    <t>上短压条</t>
  </si>
  <si>
    <t>MND-1030P11-2.4.2-34</t>
  </si>
  <si>
    <t>短镶条</t>
  </si>
  <si>
    <t>368x32厚10</t>
  </si>
  <si>
    <t>MND-1030P11-2.4.2-16A</t>
  </si>
  <si>
    <t>门上护板</t>
  </si>
  <si>
    <t>MND-1030P11-2.4.2-17</t>
  </si>
  <si>
    <t>门左边护板</t>
  </si>
  <si>
    <t>MND-1030P11-2.4.2-18</t>
  </si>
  <si>
    <t>门右边护板</t>
  </si>
  <si>
    <t>MND-1030P11-2.4.2-19A</t>
  </si>
  <si>
    <t>右门护板</t>
  </si>
  <si>
    <t>MND-1030P11-2.4.2-20</t>
  </si>
  <si>
    <t>钩形护板</t>
  </si>
  <si>
    <t>MND-1030P11-2.4.2-21A</t>
  </si>
  <si>
    <t>下部压条A</t>
  </si>
  <si>
    <t>MND-1030P11-2.4.2-22A</t>
  </si>
  <si>
    <t>下部中间护板A</t>
  </si>
  <si>
    <t>MND-1030P11-2.4.2-23</t>
  </si>
  <si>
    <t>镶条</t>
  </si>
  <si>
    <t>497X31厚10</t>
  </si>
  <si>
    <t>MND-1030P11-2.4.2-24</t>
  </si>
  <si>
    <t>抛头位堵板</t>
  </si>
  <si>
    <t>MND-1030P11-2.4.2-25</t>
  </si>
  <si>
    <t>下部边护板</t>
  </si>
  <si>
    <t>MND-1030P11-2.4.2-26</t>
  </si>
  <si>
    <t>挡板</t>
  </si>
  <si>
    <t>250x18厚10</t>
  </si>
  <si>
    <t>MND-1030P11-2.4.2-27</t>
  </si>
  <si>
    <t>螺杆护板</t>
  </si>
  <si>
    <t>MND-1030P11-2.4.2-28</t>
  </si>
  <si>
    <t>后侧左边护板</t>
  </si>
  <si>
    <t>MND-1030P11-2.4.2-29</t>
  </si>
  <si>
    <t>宽护板</t>
  </si>
  <si>
    <t>MND-1030P11-2.4.2-30</t>
  </si>
  <si>
    <t>窄护板</t>
  </si>
  <si>
    <t>MND-1030P11-2.4.2-31</t>
  </si>
  <si>
    <t>后侧右边护板</t>
  </si>
  <si>
    <t>MND-1030P11-2.4.2-32</t>
  </si>
  <si>
    <t>长竖压条</t>
  </si>
  <si>
    <t>MND-1030P11-2.4.2-33</t>
  </si>
  <si>
    <t>短竖压条</t>
  </si>
  <si>
    <t>MND-1030P11-2.4.2-16B</t>
  </si>
  <si>
    <t>门下护板</t>
  </si>
  <si>
    <t>MND-1030P11-2.4.2-19B</t>
  </si>
  <si>
    <t>左门护板</t>
  </si>
  <si>
    <t>MND-1030P11-2.4.2-11B</t>
  </si>
  <si>
    <t>顶长护板</t>
  </si>
  <si>
    <t>MND-1030P11-2.4.2-21B</t>
  </si>
  <si>
    <t>下部压条B</t>
  </si>
  <si>
    <t>MND-1030P11-2.4.2-22B</t>
  </si>
  <si>
    <t>下部中间护板B</t>
  </si>
  <si>
    <t>MND-1030P11-2.4.2-35</t>
  </si>
  <si>
    <t>护板垫片</t>
  </si>
  <si>
    <t>Φ40XΦ13厚10</t>
  </si>
  <si>
    <t>MND-1030P11-2.4.3</t>
  </si>
  <si>
    <t>抛丸室内门</t>
  </si>
  <si>
    <t>MND-1030P11-2.4.3-1</t>
  </si>
  <si>
    <t>抛丸室内门主体板</t>
  </si>
  <si>
    <t>590X570厚10</t>
  </si>
  <si>
    <t>MND-1030P11-2.4.4-1</t>
  </si>
  <si>
    <t>清理室内门主体板</t>
  </si>
  <si>
    <t>540X460厚10</t>
  </si>
  <si>
    <t>MND-1030P11-2.4.5.1.0</t>
  </si>
  <si>
    <t>MND-1030P11-2.4.2.1-2</t>
  </si>
  <si>
    <t>管</t>
  </si>
  <si>
    <t>MND-1030P11-2.4.2.1-1</t>
  </si>
  <si>
    <t>MND-1030P11-2.4.5.2.0</t>
  </si>
  <si>
    <t>MND-1030P11-2.4.5.2-1</t>
  </si>
  <si>
    <t>板体</t>
  </si>
  <si>
    <t>MND-1030P11-2.4.5.2-2</t>
  </si>
  <si>
    <t>外管</t>
  </si>
  <si>
    <t>MND-1030P11-2.4.5.2-3</t>
  </si>
  <si>
    <t>内管</t>
  </si>
  <si>
    <t>厚16</t>
  </si>
  <si>
    <t>短托链体</t>
  </si>
  <si>
    <t>MND-1030P11-2.4.6-3</t>
  </si>
  <si>
    <t>MND-1030P11-2.4.6-1</t>
  </si>
  <si>
    <t>滑板</t>
  </si>
  <si>
    <t>MND-1030P11-2.4.6-2</t>
  </si>
  <si>
    <t>长托链体</t>
  </si>
  <si>
    <t>MND-1030P11-2.4.7-3</t>
  </si>
  <si>
    <t>MND-1030P11-2.4.7-1</t>
  </si>
  <si>
    <t>MND-1030P11-2.4.7-2</t>
  </si>
  <si>
    <t>“图样名称”</t>
  </si>
  <si>
    <t>565X440厚5</t>
  </si>
  <si>
    <t>10.1.4</t>
  </si>
  <si>
    <t>10.1.5</t>
  </si>
  <si>
    <t>MND-1030P11-2.4.11.3</t>
  </si>
  <si>
    <t>垫片</t>
  </si>
  <si>
    <t>Φ24XΦ9厚3</t>
  </si>
  <si>
    <t>厚12</t>
  </si>
  <si>
    <t>MND-1030P11-2.4.14-1</t>
  </si>
  <si>
    <t>后封板体</t>
  </si>
  <si>
    <t>565X390厚4</t>
  </si>
  <si>
    <t>规格</t>
    <phoneticPr fontId="1" type="noConversion"/>
  </si>
  <si>
    <t>QWD.6.1</t>
  </si>
  <si>
    <t>送出壳体</t>
  </si>
  <si>
    <t>角钢</t>
    <phoneticPr fontId="1" type="noConversion"/>
  </si>
  <si>
    <t>QX3210A.5.4</t>
  </si>
  <si>
    <t>支腿安装垫板</t>
  </si>
  <si>
    <t>安装板</t>
  </si>
  <si>
    <t>QWD.3.1</t>
  </si>
  <si>
    <t>送入壳体</t>
  </si>
  <si>
    <t>QWD.9</t>
  </si>
  <si>
    <t>网架</t>
  </si>
  <si>
    <t>QWD.9.1</t>
  </si>
  <si>
    <t>盖板</t>
  </si>
  <si>
    <t>方管</t>
  </si>
  <si>
    <t>QWD.9.3</t>
  </si>
  <si>
    <t>隔板</t>
  </si>
  <si>
    <t>底框</t>
  </si>
  <si>
    <t>MND-1030P11-2.4</t>
  </si>
  <si>
    <t>清理室</t>
  </si>
  <si>
    <t>MND-1030P11-2.4.1</t>
  </si>
  <si>
    <t>焊接箱体</t>
  </si>
  <si>
    <t>5.1.1</t>
  </si>
  <si>
    <t>MND-1030P11-2.4.1.1</t>
  </si>
  <si>
    <t>右密封室</t>
  </si>
  <si>
    <t>5.1.1.1</t>
  </si>
  <si>
    <t>MND-1030P11-2.4.1.1-1</t>
  </si>
  <si>
    <t>密封室边端板</t>
  </si>
  <si>
    <t>5.1.1.2</t>
  </si>
  <si>
    <t>MND-1030P11-2.4.1.1-2</t>
  </si>
  <si>
    <t>密封室顶板</t>
  </si>
  <si>
    <t>厚6</t>
  </si>
  <si>
    <t>5.1.1.3</t>
  </si>
  <si>
    <t>MND-1030P11-2.4.1.1-3</t>
  </si>
  <si>
    <t>密封室端板</t>
  </si>
  <si>
    <t>5.1.1.4</t>
  </si>
  <si>
    <t>MND-1030P11-2.4.1.1-4</t>
  </si>
  <si>
    <t>右密封室前侧板</t>
  </si>
  <si>
    <t>5.1.1.5</t>
  </si>
  <si>
    <t>MND-1030P11-2.4.1.1-5</t>
  </si>
  <si>
    <t>右密封室后侧板</t>
  </si>
  <si>
    <t>5.1.1.6</t>
  </si>
  <si>
    <t>MND-1030P11-2.4.1.1-6WK</t>
  </si>
  <si>
    <t>密封室门横栏WK</t>
  </si>
  <si>
    <t>5.1.1.7</t>
  </si>
  <si>
    <t>MND-1030P11-2.4.1.1-7</t>
  </si>
  <si>
    <t>密封室门纵栏</t>
  </si>
  <si>
    <t>5.1.1.8</t>
  </si>
  <si>
    <t>MND-1030P11-2.4.1.1-6DK</t>
  </si>
  <si>
    <t>密封室门横栏DK</t>
  </si>
  <si>
    <t>5.1.2</t>
  </si>
  <si>
    <t>MND-1030P11-2.4.1.2</t>
  </si>
  <si>
    <t>抛丸室</t>
  </si>
  <si>
    <t>5.1.2.1</t>
  </si>
  <si>
    <t>MND-1030P11-2.4.1.2-1</t>
  </si>
  <si>
    <t>抛丸室顶板</t>
  </si>
  <si>
    <t>5.1.2.2</t>
  </si>
  <si>
    <t>MND-1030P11-2.4.1.2-2</t>
  </si>
  <si>
    <t>抛丸室隔板</t>
  </si>
  <si>
    <t>5.1.2.3</t>
  </si>
  <si>
    <t>MND-1030P11-2.4.1.2-3</t>
  </si>
  <si>
    <t>抛丸室前侧板</t>
  </si>
  <si>
    <t>5.1.2.4</t>
  </si>
  <si>
    <t>MND-1030P11-2.4.1.2-4</t>
  </si>
  <si>
    <t>抛丸室后侧板</t>
  </si>
  <si>
    <t>5.1.2.5</t>
  </si>
  <si>
    <t>MND-1030P11-2.4.1.2-5</t>
  </si>
  <si>
    <t>抛丸室下门边</t>
  </si>
  <si>
    <t>5.1.2.6</t>
  </si>
  <si>
    <t>MND-1030P11-2.4.1.2-6</t>
  </si>
  <si>
    <t>抛丸室门边</t>
  </si>
  <si>
    <t>5.1.3</t>
  </si>
  <si>
    <t>MND-1030P11-2.4.1.3</t>
  </si>
  <si>
    <t>左密封室</t>
  </si>
  <si>
    <t>5.1.3.4</t>
  </si>
  <si>
    <t>MND-1030P11-2.4.1.3-5</t>
  </si>
  <si>
    <t>左密封室后侧板</t>
  </si>
  <si>
    <t>5.1.3.5</t>
  </si>
  <si>
    <t>MND-1030P11-2.4.1.3-4</t>
  </si>
  <si>
    <t>左密封室前侧板</t>
  </si>
  <si>
    <t>5.1.8</t>
  </si>
  <si>
    <t>MND-1030P11-2.4.1.4a</t>
  </si>
  <si>
    <t>底收料槽a</t>
  </si>
  <si>
    <t>5.1.9</t>
  </si>
  <si>
    <t>MND-1030P11-2.4.1.4b</t>
  </si>
  <si>
    <t>底收料槽b</t>
  </si>
  <si>
    <t>5.1.10</t>
  </si>
  <si>
    <t>MND-1030P11-2.4.1.5</t>
  </si>
  <si>
    <t>端板</t>
  </si>
  <si>
    <t>5.1.11</t>
  </si>
  <si>
    <t>MND-1030P11-2.4.1.6</t>
  </si>
  <si>
    <t>筋板</t>
  </si>
  <si>
    <t>5.1.12</t>
  </si>
  <si>
    <t>MND-1030P11-2.4.1.7</t>
  </si>
  <si>
    <t>抛出口</t>
  </si>
  <si>
    <t>5.1.12.1</t>
  </si>
  <si>
    <t>5.1.12.2</t>
  </si>
  <si>
    <t>5.1.12.3</t>
  </si>
  <si>
    <t>MND-1030P11-2.4.1.7-3</t>
  </si>
  <si>
    <t>小框板</t>
  </si>
  <si>
    <t>850X26厚10</t>
  </si>
  <si>
    <t>5.1.13</t>
  </si>
  <si>
    <t>MND-1030P11-2.4.1.8</t>
  </si>
  <si>
    <t>风管</t>
  </si>
  <si>
    <t>5.1.13.1</t>
  </si>
  <si>
    <t>MND-1030P11-2.4.1.8-1</t>
  </si>
  <si>
    <t>管道</t>
  </si>
  <si>
    <t>厚1.5</t>
  </si>
  <si>
    <t>5.1.13.2</t>
  </si>
  <si>
    <t>MND-1030P11-2.4.1.8-2</t>
  </si>
  <si>
    <t>法兰</t>
  </si>
  <si>
    <t>260X260厚6</t>
  </si>
  <si>
    <t>5.1.14</t>
  </si>
  <si>
    <t>MND-1030P11-2.4.1.9</t>
  </si>
  <si>
    <t>右支脚</t>
  </si>
  <si>
    <t>5.1.15</t>
  </si>
  <si>
    <t>MND-1030P11-2.4.1.10</t>
  </si>
  <si>
    <t>左支脚</t>
  </si>
  <si>
    <t>5.1.16</t>
  </si>
  <si>
    <t>MND-1030P11-2.4.1.11</t>
  </si>
  <si>
    <t>支脚板</t>
  </si>
  <si>
    <t>250X250厚12</t>
  </si>
  <si>
    <t>5.1.17</t>
  </si>
  <si>
    <t>MND-1030P11-2.4.1.12</t>
  </si>
  <si>
    <t>端部收料槽</t>
  </si>
  <si>
    <t>厚4</t>
  </si>
  <si>
    <t>5.2.1</t>
  </si>
  <si>
    <t>5.2.2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</si>
  <si>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</si>
  <si>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</si>
  <si>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</si>
  <si>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</si>
  <si>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</si>
  <si>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</si>
  <si>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</si>
  <si>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</si>
  <si>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5.2.11</t>
  </si>
  <si>
    <t>5.2.12</t>
  </si>
  <si>
    <t>5.2.13</t>
  </si>
  <si>
    <t>5.2.14</t>
  </si>
  <si>
    <t>5.2.14.1</t>
  </si>
  <si>
    <t>5.2.14.2</t>
  </si>
  <si>
    <t>5.2.15</t>
  </si>
  <si>
    <t>5.2.16</t>
  </si>
  <si>
    <t>5.2.17</t>
  </si>
  <si>
    <t>5.2.18</t>
  </si>
  <si>
    <t>5.2.19</t>
  </si>
  <si>
    <t>5.2.20</t>
  </si>
  <si>
    <t>5.2.21</t>
  </si>
  <si>
    <t>5.2.22</t>
  </si>
  <si>
    <t>5.2.23</t>
  </si>
  <si>
    <t>5.2.24</t>
  </si>
  <si>
    <t>5.2.25</t>
  </si>
  <si>
    <t>5.2.26</t>
  </si>
  <si>
    <t>5.2.27</t>
  </si>
  <si>
    <t>5.2.28</t>
  </si>
  <si>
    <t>5.2.29</t>
  </si>
  <si>
    <t>5.2.30</t>
  </si>
  <si>
    <t>5.2.31</t>
  </si>
  <si>
    <t>5.2.32</t>
  </si>
  <si>
    <t>5.2.33</t>
  </si>
  <si>
    <t>5.2.34</t>
  </si>
  <si>
    <t>5.2.35</t>
  </si>
  <si>
    <t>5.2.36</t>
  </si>
  <si>
    <t>5.2.37</t>
  </si>
  <si>
    <t>5.2.38</t>
  </si>
  <si>
    <t>5.2.39</t>
  </si>
  <si>
    <t>5.2.42</t>
  </si>
  <si>
    <t>5.3.1</t>
  </si>
  <si>
    <t>5.4.1</t>
  </si>
  <si>
    <t>5.5.1</t>
  </si>
  <si>
    <t>5.5.1.1</t>
  </si>
  <si>
    <t>5.5.1.2</t>
  </si>
  <si>
    <t>5.5.2</t>
  </si>
  <si>
    <t>5.5.2.1</t>
  </si>
  <si>
    <t>5.5.2.2</t>
  </si>
  <si>
    <t>5.5.2.3</t>
  </si>
  <si>
    <t>5.5.3</t>
  </si>
  <si>
    <t>5.5.4</t>
  </si>
  <si>
    <t>MND-1030P11-2.4.6.0</t>
  </si>
  <si>
    <t>5.6.1</t>
  </si>
  <si>
    <t>5.6.2</t>
  </si>
  <si>
    <t>5.6.3</t>
  </si>
  <si>
    <t>MND-1030P11-2.4.7.0</t>
  </si>
  <si>
    <t>5.7.1</t>
  </si>
  <si>
    <t>5.7.2</t>
  </si>
  <si>
    <t>5.7.3</t>
  </si>
  <si>
    <t>MND-1030P11-2.4.8</t>
  </si>
  <si>
    <t>中筛网</t>
  </si>
  <si>
    <t>MND-1030P11-2.4.9</t>
  </si>
  <si>
    <t>大筛网</t>
  </si>
  <si>
    <t>MND-1030P11-2.4.10</t>
  </si>
  <si>
    <t>检修盖板</t>
  </si>
  <si>
    <t>5.10.1</t>
  </si>
  <si>
    <t>5.11.1</t>
  </si>
  <si>
    <t>MND-1030P11-2.4.11.1</t>
  </si>
  <si>
    <t>密封室检修门</t>
  </si>
  <si>
    <t>5.11.1.1</t>
  </si>
  <si>
    <t>维修门</t>
  </si>
  <si>
    <t>MND-1030P11-2.4.11.1-1</t>
  </si>
  <si>
    <t>5.11.1.2</t>
  </si>
  <si>
    <t>外落沙板</t>
  </si>
  <si>
    <t>MND-1030P11-2.4.11.1-2</t>
  </si>
  <si>
    <t>5.11.1.3</t>
  </si>
  <si>
    <t>短加强板</t>
  </si>
  <si>
    <t>MND-1030P11-2.4.11.1-3</t>
  </si>
  <si>
    <t>5.11.1.4</t>
  </si>
  <si>
    <t>长加强板</t>
  </si>
  <si>
    <t>MND-1030P11-2.4.11.1-4</t>
  </si>
  <si>
    <t>5.11.1.5</t>
  </si>
  <si>
    <t>手柄销</t>
  </si>
  <si>
    <t>MND-1030P11-2.4.11.1-5</t>
  </si>
  <si>
    <t>5.11.2</t>
  </si>
  <si>
    <t>MND-1030P11-2.4.11.2</t>
  </si>
  <si>
    <t>门把手</t>
  </si>
  <si>
    <t>5.11.2.1</t>
  </si>
  <si>
    <t>MND-1030P11-2.4.11.2-1</t>
  </si>
  <si>
    <t>转套</t>
  </si>
  <si>
    <t>5.11.2.2</t>
  </si>
  <si>
    <t>MND-1030P11-2.4.11.2-2</t>
  </si>
  <si>
    <t>短杆</t>
  </si>
  <si>
    <t>5.11.2.3</t>
  </si>
  <si>
    <t>MND-1030P11-2.4.11.2-3</t>
  </si>
  <si>
    <t>长杆</t>
  </si>
  <si>
    <t>5.11.4</t>
  </si>
  <si>
    <t>5.11.6</t>
  </si>
  <si>
    <t>MND-1030P11-2.4.12.0</t>
  </si>
  <si>
    <t>抛丸室检修门部件</t>
  </si>
  <si>
    <t>5.12.1</t>
  </si>
  <si>
    <t>MND-1030P11-2.4.12.1</t>
  </si>
  <si>
    <t>抛丸室检修门</t>
  </si>
  <si>
    <t>5.12.1.1</t>
  </si>
  <si>
    <t>MND-1030P11-2.4.12.1-1</t>
  </si>
  <si>
    <t>抛丸室门主体板</t>
  </si>
  <si>
    <t>5.12.1.2</t>
  </si>
  <si>
    <t>MND-1030P11-2.4.12.1-2</t>
  </si>
  <si>
    <t>抛丸室外落沙板</t>
  </si>
  <si>
    <t>5.12.1.3</t>
  </si>
  <si>
    <t>MND-1030P11-2.4.12.1-3</t>
  </si>
  <si>
    <t>抛丸室加强板</t>
  </si>
  <si>
    <t>5.12.1.5</t>
  </si>
  <si>
    <t>MND-1030P11-2.4.12.1-4</t>
  </si>
  <si>
    <t>抛丸室门横板</t>
  </si>
  <si>
    <t>5.13.1</t>
  </si>
  <si>
    <t>5.13.2</t>
  </si>
  <si>
    <t>5.13.3</t>
  </si>
  <si>
    <t>5.14.1</t>
  </si>
  <si>
    <t>QWD5.2</t>
  </si>
  <si>
    <t>提升机中段</t>
  </si>
  <si>
    <t>6.1.1</t>
  </si>
  <si>
    <t>QWD5.2.1</t>
  </si>
  <si>
    <t>QWD5.4</t>
  </si>
  <si>
    <t>提升机上段</t>
  </si>
  <si>
    <t>密封板</t>
  </si>
  <si>
    <t>漏沙板</t>
  </si>
  <si>
    <t>QWD5.1</t>
  </si>
  <si>
    <t>提升机下段</t>
  </si>
  <si>
    <t>6.8.13</t>
  </si>
  <si>
    <t>光电凸轮</t>
  </si>
  <si>
    <t>MCS-720-Z10.01.06</t>
  </si>
  <si>
    <t>100X100X6</t>
  </si>
  <si>
    <t>6.8.15</t>
  </si>
  <si>
    <t>螺旋光电罩</t>
  </si>
  <si>
    <t>MCS-720-Z10.01.08</t>
  </si>
  <si>
    <t>厚3</t>
  </si>
  <si>
    <t>6.8.16</t>
  </si>
  <si>
    <t>锁扣板</t>
  </si>
  <si>
    <t>M-SK10</t>
  </si>
  <si>
    <t>6.8.17</t>
  </si>
  <si>
    <t>转轴套</t>
  </si>
  <si>
    <t>MZ12-2</t>
  </si>
  <si>
    <t>6.8.18</t>
  </si>
  <si>
    <t>转轴</t>
  </si>
  <si>
    <t>MZ12-1</t>
  </si>
  <si>
    <t>MND-1030P11-2.5.4.13</t>
  </si>
  <si>
    <t>皮带</t>
  </si>
  <si>
    <t>6.12.1</t>
  </si>
  <si>
    <t>PVC-400  长度11米</t>
  </si>
  <si>
    <t>PVC 整芯提升带</t>
  </si>
  <si>
    <t>6.12.2</t>
  </si>
  <si>
    <t>SS1312</t>
  </si>
  <si>
    <t>畚斗</t>
  </si>
  <si>
    <t>6.12.3</t>
  </si>
  <si>
    <t>M8X35</t>
  </si>
  <si>
    <t>牙口畚斗螺钉</t>
  </si>
  <si>
    <t>6.12.5</t>
  </si>
  <si>
    <t>M8</t>
  </si>
  <si>
    <t>尼龙锁紧六角螺母</t>
  </si>
  <si>
    <t>6.12.7</t>
  </si>
  <si>
    <t>鼓式垫圈</t>
  </si>
  <si>
    <t>6.12.8</t>
  </si>
  <si>
    <t>MND-1030P11-2.5.4.13-01</t>
  </si>
  <si>
    <t>皮带接头</t>
  </si>
  <si>
    <t>A3</t>
  </si>
  <si>
    <t>MND-1030P11-2.7</t>
  </si>
  <si>
    <t>横向螺旋</t>
  </si>
  <si>
    <t>MND-1030P11-2.7.1</t>
  </si>
  <si>
    <t>螺旋轴</t>
  </si>
  <si>
    <t>7.1.1</t>
  </si>
  <si>
    <t>MCS-720-Z11.02.02.2</t>
  </si>
  <si>
    <t>短轴</t>
  </si>
  <si>
    <t>7.1.2</t>
  </si>
  <si>
    <t>MCS-720-Z11.02.02.3</t>
  </si>
  <si>
    <t>长轴</t>
  </si>
  <si>
    <t>7.1.3</t>
  </si>
  <si>
    <t>MCS-720-Z11.02.02.4</t>
  </si>
  <si>
    <t>钢管</t>
  </si>
  <si>
    <t>7.1.4</t>
  </si>
  <si>
    <t>MND-1030P11-2.7.1-1</t>
  </si>
  <si>
    <t>叶片</t>
  </si>
  <si>
    <t>7.1.5</t>
  </si>
  <si>
    <t>MND-1030P11-2.7.1-2</t>
  </si>
  <si>
    <t>180×80厚10</t>
  </si>
  <si>
    <t>MND-1030P11-2.7.2</t>
  </si>
  <si>
    <t>罩壳</t>
  </si>
  <si>
    <t>7.2.1</t>
  </si>
  <si>
    <t>MND-1030P11-2.7.2-3</t>
  </si>
  <si>
    <t>壳</t>
  </si>
  <si>
    <t>7.2.2</t>
  </si>
  <si>
    <t>MND-1030P11-2.7.2-1</t>
  </si>
  <si>
    <t>380X370厚10</t>
  </si>
  <si>
    <t>7.2.3</t>
  </si>
  <si>
    <t>MND-1030P11-2.7.2-6</t>
  </si>
  <si>
    <t>7.2.4</t>
  </si>
  <si>
    <t>MND-1030P11-2.7.2-2</t>
  </si>
  <si>
    <t>堵板</t>
  </si>
  <si>
    <t>272X266厚10</t>
  </si>
  <si>
    <t>7.2.5</t>
  </si>
  <si>
    <t>MND-1030P11-2.7.2-4</t>
  </si>
  <si>
    <t>7.2.7</t>
  </si>
  <si>
    <t>MND-1030P11-2.7.2-5</t>
  </si>
  <si>
    <t>MND-1030P11-2.7-1</t>
  </si>
  <si>
    <t>螺旋盖板</t>
  </si>
  <si>
    <t>1105×380厚3</t>
  </si>
  <si>
    <t>7.3.1</t>
  </si>
  <si>
    <t>MND-1030P1-2.7-1</t>
  </si>
  <si>
    <t>1100X380厚3</t>
  </si>
  <si>
    <t>MND-1030P11-2.7.3</t>
  </si>
  <si>
    <t>收料口</t>
  </si>
  <si>
    <t>7.4.1</t>
  </si>
  <si>
    <t>MND-1030P11-2.7.3-1</t>
  </si>
  <si>
    <t>连接板</t>
  </si>
  <si>
    <t>380×380厚5</t>
  </si>
  <si>
    <t>7.4.2</t>
  </si>
  <si>
    <t>MND-1030P11-2.7.3-2</t>
  </si>
  <si>
    <t>下料口</t>
  </si>
  <si>
    <t>MND-1030P11-2.7.4</t>
  </si>
  <si>
    <t>螺旋前法兰</t>
  </si>
  <si>
    <t>7.5.1</t>
  </si>
  <si>
    <t>MND-1030P11-2.7.4-1</t>
  </si>
  <si>
    <t>55X55厚8</t>
  </si>
  <si>
    <t>7.5.2</t>
  </si>
  <si>
    <t>MND-1030P11-2.7.4-2</t>
  </si>
  <si>
    <t>电机固定板</t>
  </si>
  <si>
    <t>340X340厚10</t>
  </si>
  <si>
    <t>7.5.3</t>
  </si>
  <si>
    <t>MND-1030P11-2.7.4-3</t>
  </si>
  <si>
    <t>电机固定支脚</t>
  </si>
  <si>
    <t>224.32X111.21厚10</t>
  </si>
  <si>
    <t>7.5.4</t>
  </si>
  <si>
    <t>MND-1030P11-2.7.4-4</t>
  </si>
  <si>
    <t>角筋</t>
  </si>
  <si>
    <t>50X50厚8</t>
  </si>
  <si>
    <t>MND-1030P11-2.8.9</t>
  </si>
  <si>
    <t>胶套</t>
  </si>
  <si>
    <t>MND-1030P11-2.7.5</t>
  </si>
  <si>
    <t>减速机销</t>
  </si>
  <si>
    <t>MND-1030P11-2.5.4.7</t>
  </si>
  <si>
    <t>MND-1030P11-2.5.4.8</t>
  </si>
  <si>
    <t>8.1.28</t>
  </si>
  <si>
    <t>MZ15-2</t>
  </si>
  <si>
    <t>8.1.29</t>
  </si>
  <si>
    <t>MZ15-1</t>
  </si>
  <si>
    <t>8.1.38</t>
  </si>
  <si>
    <t>413P0502070302</t>
  </si>
  <si>
    <t>把手调节撑杆</t>
  </si>
  <si>
    <t>8.2.9</t>
  </si>
  <si>
    <t>413P04012</t>
  </si>
  <si>
    <t>插板阀</t>
  </si>
  <si>
    <t>上螺杆部分</t>
  </si>
  <si>
    <t>8.3.15.2</t>
  </si>
  <si>
    <t>MCS-720-Z11.02.01</t>
  </si>
  <si>
    <t>滚筒筛</t>
  </si>
  <si>
    <t>8.3.15.2.1</t>
  </si>
  <si>
    <t>MCS-720-Z11.02.01.1</t>
  </si>
  <si>
    <t>滚筒</t>
  </si>
  <si>
    <t>8.3.15.2.2</t>
  </si>
  <si>
    <t>MCS-720-Z11.02.01.2</t>
  </si>
  <si>
    <t>外螺旋</t>
  </si>
  <si>
    <t>8.3.15.2.3</t>
  </si>
  <si>
    <t>MCS-720-Z11.02.01.3</t>
  </si>
  <si>
    <t>内螺旋</t>
  </si>
  <si>
    <t>8.3.15.3</t>
  </si>
  <si>
    <t>MCS-720-Z11.02.02</t>
  </si>
  <si>
    <t>8.3.15.3.1</t>
  </si>
  <si>
    <t>MCS-720-Z11.02.02.1</t>
  </si>
  <si>
    <t>螺旋</t>
  </si>
  <si>
    <t>413P03</t>
  </si>
  <si>
    <t>半自动流量阀</t>
  </si>
  <si>
    <t>矩形管</t>
  </si>
  <si>
    <t>9.1.2</t>
  </si>
  <si>
    <t>MND-1030P11-2.12.1-1</t>
  </si>
  <si>
    <t>爬梯安装板</t>
  </si>
  <si>
    <t>100X100厚12</t>
  </si>
  <si>
    <t>9.1.3</t>
  </si>
  <si>
    <t>M-HLAZB100X40</t>
  </si>
  <si>
    <t>护栏安装板</t>
  </si>
  <si>
    <t>9.1.16</t>
  </si>
  <si>
    <t>MND-1030P11-2.12.1-2</t>
  </si>
  <si>
    <t>支腿安装板</t>
  </si>
  <si>
    <t>200X180厚16</t>
  </si>
  <si>
    <t>9.1.18</t>
  </si>
  <si>
    <t>MND-1030P11-2.12.1-3</t>
  </si>
  <si>
    <t>料仓长安装条</t>
  </si>
  <si>
    <t>1620X40厚10</t>
  </si>
  <si>
    <t>9.1.19</t>
  </si>
  <si>
    <t>MND-1030P11-2.12.1-4</t>
  </si>
  <si>
    <t>料仓短安装条</t>
  </si>
  <si>
    <t>680X40厚10</t>
  </si>
  <si>
    <t>9.1.22</t>
  </si>
  <si>
    <t>MND-1030P11-2.12.1-5</t>
  </si>
  <si>
    <t>斜撑安装板</t>
  </si>
  <si>
    <t>200X120厚16</t>
  </si>
  <si>
    <t>M-LG-1420</t>
  </si>
  <si>
    <t>栏杆</t>
  </si>
  <si>
    <t>焊接件</t>
  </si>
  <si>
    <t>9.2.2</t>
  </si>
  <si>
    <t>M-HLDB100X40</t>
  </si>
  <si>
    <t>护栏底板</t>
  </si>
  <si>
    <t>M-LG-1662.5</t>
  </si>
  <si>
    <t>M-LGHB-1710</t>
  </si>
  <si>
    <t>栏杆护板</t>
  </si>
  <si>
    <t>M-LGHB-1434</t>
  </si>
  <si>
    <t>M-LGHB-1433</t>
  </si>
  <si>
    <t>M-LGHB-LF-1420</t>
  </si>
  <si>
    <t>M-LGHB-L-1420</t>
  </si>
  <si>
    <t>M-LG-1386</t>
  </si>
  <si>
    <t>9.11.1</t>
  </si>
  <si>
    <t>MND-1030P11-2.12.2-1</t>
  </si>
  <si>
    <t>上下安装板</t>
  </si>
  <si>
    <t>9.11.2</t>
  </si>
  <si>
    <t>MND-1030P11-2.12.2-2</t>
  </si>
  <si>
    <t>9.11.3</t>
  </si>
  <si>
    <t>MND-1030P11-2.12.2-3</t>
  </si>
  <si>
    <t>侧安装板</t>
  </si>
  <si>
    <t>MND-1030P11-2.12.4</t>
  </si>
  <si>
    <t>焊板</t>
  </si>
  <si>
    <t>9.14.1</t>
  </si>
  <si>
    <t>MND-1030P11-2.12.5-1</t>
  </si>
  <si>
    <t>9.14.2</t>
  </si>
  <si>
    <t>MND-1030P11-2.12.5-2</t>
  </si>
  <si>
    <t>200X120厚12</t>
  </si>
  <si>
    <t>M-PT-3870</t>
  </si>
  <si>
    <t>爬梯</t>
  </si>
  <si>
    <t>9.15.4</t>
  </si>
  <si>
    <t>M-PT-3910-1</t>
  </si>
  <si>
    <t>底板</t>
  </si>
  <si>
    <t>255X50厚10</t>
  </si>
  <si>
    <t>9.15.5</t>
  </si>
  <si>
    <t>M-PT-3910-2</t>
  </si>
  <si>
    <t>横围栏</t>
  </si>
  <si>
    <t>9.15.7</t>
  </si>
  <si>
    <t>M-PT-3910-3</t>
  </si>
  <si>
    <t>竖围栏</t>
  </si>
  <si>
    <t>9.15.8</t>
  </si>
  <si>
    <t>M-PT-3910-4</t>
  </si>
  <si>
    <t>MND-1030P11-2.8</t>
  </si>
  <si>
    <t>纵向螺旋</t>
  </si>
  <si>
    <t>MND-1030P11-2.8.1</t>
  </si>
  <si>
    <t>MND-1030P11-2.8.7</t>
  </si>
  <si>
    <t>MND-1030P11-2.8.8</t>
  </si>
  <si>
    <t>MND-1030P11-2.8.4</t>
  </si>
  <si>
    <t>185×185厚10</t>
  </si>
  <si>
    <t>MND-1030P11-2.8.5</t>
  </si>
  <si>
    <t>MND-1030P11-2.8.3</t>
  </si>
  <si>
    <t>小端板</t>
  </si>
  <si>
    <t>400×380厚12</t>
  </si>
  <si>
    <t>MND-1030P11-2.8.2</t>
  </si>
  <si>
    <t>10.6.1</t>
  </si>
  <si>
    <t>465X380厚12</t>
  </si>
  <si>
    <t>MND-1030P11-2.8.6</t>
  </si>
  <si>
    <t>电机支座</t>
  </si>
  <si>
    <t>10.7.1</t>
  </si>
  <si>
    <t>MND-1030P11-2.8.6-1</t>
  </si>
  <si>
    <t>电机支座支脚</t>
  </si>
  <si>
    <t>10.7.2</t>
  </si>
  <si>
    <t>MND-1030P11-2.8.6-2</t>
  </si>
  <si>
    <t>120×68厚10</t>
  </si>
  <si>
    <t>电机销</t>
  </si>
  <si>
    <t>MND-1030P11-2.13</t>
  </si>
  <si>
    <t>丸料陷阱部件</t>
  </si>
  <si>
    <t>MND-1030P11-2.13.1</t>
  </si>
  <si>
    <t>丸料陷阱箱</t>
  </si>
  <si>
    <t>12.1.1</t>
  </si>
  <si>
    <t>M-F250</t>
  </si>
  <si>
    <t>12.1.3</t>
  </si>
  <si>
    <t>MND-1030P11-2.13.1-2</t>
  </si>
  <si>
    <t>单头内丝短节</t>
  </si>
  <si>
    <t>12.1.5</t>
  </si>
  <si>
    <t>MND-1030P11-2.13.1-4</t>
  </si>
  <si>
    <t>主仓体</t>
  </si>
  <si>
    <t>12.1.6</t>
  </si>
  <si>
    <t>MND-1030P11-2.13.1-5</t>
  </si>
  <si>
    <t>侧座板</t>
  </si>
  <si>
    <t>MND-1030P11-2.13.2</t>
  </si>
  <si>
    <t>丸料陷阱检修口盖板</t>
  </si>
  <si>
    <t>MND-1030P11-2.13.3</t>
  </si>
  <si>
    <t>12.7.1</t>
  </si>
  <si>
    <t>QX3210A.5.9-1</t>
  </si>
  <si>
    <t>托板</t>
  </si>
  <si>
    <t>MND-1030P11-2.1</t>
  </si>
  <si>
    <t>主机风管部件</t>
  </si>
  <si>
    <t>M-TJZJ200</t>
  </si>
  <si>
    <t>风量调节组件</t>
  </si>
  <si>
    <t>13.1.1</t>
  </si>
  <si>
    <t>M-KDB</t>
  </si>
  <si>
    <t>刻度板</t>
  </si>
  <si>
    <t>13.1.2</t>
  </si>
  <si>
    <t>M-FBG</t>
  </si>
  <si>
    <t>阀摆杆</t>
  </si>
  <si>
    <t>13.1.3</t>
  </si>
  <si>
    <t>M-FB200</t>
  </si>
  <si>
    <t>阀板</t>
  </si>
  <si>
    <t>13.1.4</t>
  </si>
  <si>
    <t>M-FBCZ</t>
  </si>
  <si>
    <t>阀板长轴</t>
  </si>
  <si>
    <t>13.1.5</t>
  </si>
  <si>
    <t>M-FBDZ</t>
  </si>
  <si>
    <t>阀板短轴</t>
  </si>
  <si>
    <t>M-TJZJ150</t>
  </si>
  <si>
    <t>13.2.3</t>
  </si>
  <si>
    <t>M-FB150</t>
  </si>
  <si>
    <t>MND-1030P11-2.1.1</t>
  </si>
  <si>
    <t>右密封室三通管</t>
  </si>
  <si>
    <t>13.3.1</t>
  </si>
  <si>
    <t>M-F200</t>
  </si>
  <si>
    <t>13.3.2</t>
  </si>
  <si>
    <t>M-ST-200L50t1.5-Z200</t>
  </si>
  <si>
    <t>三通</t>
  </si>
  <si>
    <t>MND-1030P11-2.1.2</t>
  </si>
  <si>
    <t>密封室直风管</t>
  </si>
  <si>
    <t>13.4.1</t>
  </si>
  <si>
    <t>M-ZFG</t>
  </si>
  <si>
    <t>直风管</t>
  </si>
  <si>
    <t>13.4.2</t>
  </si>
  <si>
    <t>M-F150</t>
  </si>
  <si>
    <t>13.4.3</t>
  </si>
  <si>
    <t>M-ST-150L50t1.5-Z200</t>
  </si>
  <si>
    <t>MND-1030P11-2.1.3</t>
  </si>
  <si>
    <t>分选器弯风管</t>
  </si>
  <si>
    <t>13.5.2</t>
  </si>
  <si>
    <t>M-WT-150X1.5</t>
  </si>
  <si>
    <t>弯头</t>
  </si>
  <si>
    <t>13.5.3</t>
  </si>
  <si>
    <t>13.5.4</t>
  </si>
  <si>
    <t>MND-1030P11-2.1.4</t>
  </si>
  <si>
    <t>分选器直风管</t>
  </si>
  <si>
    <t>13.6.2</t>
  </si>
  <si>
    <t>MND-1030P11-2.1.5</t>
  </si>
  <si>
    <t>左密封室风管</t>
  </si>
  <si>
    <t>13.7.1</t>
  </si>
  <si>
    <t>13.7.2</t>
  </si>
  <si>
    <t>M-WT-200X1.5</t>
  </si>
  <si>
    <t>13.7.4</t>
  </si>
  <si>
    <t>MND-1030P11-2.1.6</t>
  </si>
  <si>
    <t>左密封室弯风管</t>
  </si>
  <si>
    <t>13.8.2</t>
  </si>
  <si>
    <t>13.8.3</t>
  </si>
  <si>
    <t>M-WT-250X1.5</t>
  </si>
  <si>
    <t>13.8.4</t>
  </si>
  <si>
    <t>MND-1030P11-2.1.7</t>
  </si>
  <si>
    <t>四通风管</t>
  </si>
  <si>
    <t>13.9.1</t>
  </si>
  <si>
    <t>M-DXT-250X200L150t1.5</t>
  </si>
  <si>
    <t>大小头</t>
  </si>
  <si>
    <t>13.9.2</t>
  </si>
  <si>
    <t>13.9.4</t>
  </si>
  <si>
    <t>13.9.7</t>
  </si>
  <si>
    <t>M-ST-200L50t1.5-Z250</t>
  </si>
  <si>
    <t>MND-1030P11-2.10</t>
  </si>
  <si>
    <t>丸料陷阱风管部件</t>
  </si>
  <si>
    <t xml:space="preserve"> </t>
    <phoneticPr fontId="1" type="noConversion"/>
  </si>
  <si>
    <t>外购件</t>
    <phoneticPr fontId="1" type="noConversion"/>
  </si>
  <si>
    <t xml:space="preserve">   </t>
    <phoneticPr fontId="1" type="noConversion"/>
  </si>
  <si>
    <t>企标件</t>
    <phoneticPr fontId="1" type="noConversion"/>
  </si>
  <si>
    <t>&lt;&lt;QWD.00网带式抛丸清理机&gt;&gt; 激光下料汇总表</t>
    <phoneticPr fontId="1" type="noConversion"/>
  </si>
  <si>
    <t xml:space="preserve"> 无图</t>
    <phoneticPr fontId="1" type="noConversion"/>
  </si>
  <si>
    <t xml:space="preserve"> 本图</t>
    <phoneticPr fontId="1" type="noConversion"/>
  </si>
  <si>
    <t xml:space="preserve"> </t>
    <phoneticPr fontId="1" type="noConversion"/>
  </si>
  <si>
    <t>&lt;&lt;QWD.00网带式抛丸清理机&gt;&gt; 图纸下发清单</t>
    <phoneticPr fontId="15" type="noConversion"/>
  </si>
  <si>
    <t>激光下料</t>
    <phoneticPr fontId="1" type="noConversion"/>
  </si>
  <si>
    <t>机加</t>
    <phoneticPr fontId="1" type="noConversion"/>
  </si>
  <si>
    <t>机加 本图</t>
    <phoneticPr fontId="1" type="noConversion"/>
  </si>
  <si>
    <t>本图</t>
    <phoneticPr fontId="1" type="noConversion"/>
  </si>
  <si>
    <t>长度11米</t>
    <phoneticPr fontId="1" type="noConversion"/>
  </si>
  <si>
    <t>圆钢</t>
    <phoneticPr fontId="1" type="noConversion"/>
  </si>
  <si>
    <t>无缝管</t>
    <phoneticPr fontId="1" type="noConversion"/>
  </si>
  <si>
    <t>3mm冲孔板Φ8孔</t>
    <phoneticPr fontId="1" type="noConversion"/>
  </si>
  <si>
    <t>激光下料 本图</t>
    <phoneticPr fontId="1" type="noConversion"/>
  </si>
  <si>
    <t xml:space="preserve"> 激光下料</t>
    <phoneticPr fontId="1" type="noConversion"/>
  </si>
  <si>
    <t>加工件黑名单</t>
    <phoneticPr fontId="1" type="noConversion"/>
  </si>
  <si>
    <t>外购件黑名单</t>
    <phoneticPr fontId="1" type="noConversion"/>
  </si>
  <si>
    <t>外购件名称关键字</t>
    <phoneticPr fontId="1" type="noConversion"/>
  </si>
  <si>
    <t>占位</t>
    <phoneticPr fontId="1" type="noConversion"/>
  </si>
  <si>
    <t>品牌</t>
    <phoneticPr fontId="1" type="noConversion"/>
  </si>
  <si>
    <t>螺钉</t>
    <phoneticPr fontId="1" type="noConversion"/>
  </si>
  <si>
    <t>轴承</t>
    <phoneticPr fontId="1" type="noConversion"/>
  </si>
  <si>
    <t>弹性挡圈</t>
  </si>
  <si>
    <t>平垫</t>
    <phoneticPr fontId="1" type="noConversion"/>
  </si>
  <si>
    <t>弹垫</t>
    <phoneticPr fontId="1" type="noConversion"/>
  </si>
  <si>
    <t>电机</t>
    <phoneticPr fontId="1" type="noConversion"/>
  </si>
  <si>
    <t>原材料名称</t>
    <phoneticPr fontId="1" type="noConversion"/>
  </si>
  <si>
    <t>方管</t>
    <phoneticPr fontId="1" type="noConversion"/>
  </si>
  <si>
    <t>方通</t>
    <phoneticPr fontId="1" type="noConversion"/>
  </si>
  <si>
    <t>钢板</t>
    <phoneticPr fontId="1" type="noConversion"/>
  </si>
  <si>
    <t>无缝钢管</t>
  </si>
  <si>
    <t>45#圆钢</t>
  </si>
  <si>
    <t>Mn13钢板</t>
    <phoneticPr fontId="1" type="noConversion"/>
  </si>
  <si>
    <t>Q235-A钢板</t>
  </si>
  <si>
    <t>钢管</t>
    <phoneticPr fontId="1" type="noConversion"/>
  </si>
  <si>
    <t>矩形管</t>
    <phoneticPr fontId="1" type="noConversion"/>
  </si>
  <si>
    <t>扁通</t>
    <phoneticPr fontId="1" type="noConversion"/>
  </si>
  <si>
    <t>冲孔板</t>
    <phoneticPr fontId="1" type="noConversion"/>
  </si>
  <si>
    <t xml:space="preserve"> </t>
  </si>
  <si>
    <t>槽钢</t>
    <phoneticPr fontId="1" type="noConversion"/>
  </si>
  <si>
    <t>花纹板</t>
    <phoneticPr fontId="1" type="noConversion"/>
  </si>
  <si>
    <t>冷拉光圆</t>
    <phoneticPr fontId="1" type="noConversion"/>
  </si>
  <si>
    <t>单张面积</t>
    <phoneticPr fontId="1" type="noConversion"/>
  </si>
  <si>
    <t>张数</t>
    <phoneticPr fontId="1" type="noConversion"/>
  </si>
  <si>
    <t>原总计</t>
    <phoneticPr fontId="1" type="noConversion"/>
  </si>
  <si>
    <t>1</t>
  </si>
  <si>
    <t>2</t>
  </si>
  <si>
    <t>D:\00gyk\00sw公用\表格模板\导出bom2.sldbomtbt</t>
  </si>
  <si>
    <t>6</t>
  </si>
  <si>
    <t>5.2</t>
  </si>
  <si>
    <t>7.1</t>
  </si>
  <si>
    <t>7.2</t>
  </si>
  <si>
    <t>文件名称</t>
    <phoneticPr fontId="1" type="noConversion"/>
  </si>
  <si>
    <t>配置名称</t>
    <phoneticPr fontId="1" type="noConversion"/>
  </si>
  <si>
    <t>材料</t>
    <phoneticPr fontId="1" type="noConversion"/>
  </si>
  <si>
    <t>重量</t>
    <phoneticPr fontId="1" type="noConversion"/>
  </si>
  <si>
    <t>类别</t>
    <phoneticPr fontId="1" type="noConversion"/>
  </si>
  <si>
    <t>原材料名称</t>
    <phoneticPr fontId="1" type="noConversion"/>
  </si>
  <si>
    <t>版本</t>
    <phoneticPr fontId="1" type="noConversion"/>
  </si>
  <si>
    <t>项目号</t>
    <phoneticPr fontId="1" type="noConversion"/>
  </si>
  <si>
    <t>代号</t>
    <phoneticPr fontId="1" type="noConversion"/>
  </si>
  <si>
    <t>名称</t>
    <phoneticPr fontId="1" type="noConversion"/>
  </si>
  <si>
    <t>每套数量</t>
    <phoneticPr fontId="1" type="noConversion"/>
  </si>
  <si>
    <t>备注</t>
    <phoneticPr fontId="1" type="noConversion"/>
  </si>
  <si>
    <t>数量</t>
  </si>
  <si>
    <t>层级代号</t>
  </si>
  <si>
    <t>代号</t>
  </si>
  <si>
    <t>名称</t>
  </si>
  <si>
    <t>材料</t>
  </si>
  <si>
    <t>重量</t>
  </si>
  <si>
    <t>bom模板</t>
    <phoneticPr fontId="1" type="noConversion"/>
  </si>
  <si>
    <t>0</t>
    <phoneticPr fontId="1" type="noConversion"/>
  </si>
  <si>
    <t>3</t>
  </si>
  <si>
    <t>4</t>
  </si>
  <si>
    <t>5</t>
  </si>
  <si>
    <t>7</t>
  </si>
  <si>
    <t>4.1</t>
  </si>
  <si>
    <t>4.2</t>
  </si>
  <si>
    <t>5.1</t>
  </si>
  <si>
    <t>5.3</t>
  </si>
  <si>
    <t>6.1</t>
  </si>
  <si>
    <t>6.2</t>
  </si>
  <si>
    <t>6.3</t>
  </si>
  <si>
    <t>&lt;&lt;“图样代号”“图样名称”&gt;&gt; 原材料汇总表</t>
    <phoneticPr fontId="1" type="noConversion"/>
  </si>
  <si>
    <t>&lt;&lt;“图样代号”“图样名称”&gt;&gt; 原材料分项表</t>
    <phoneticPr fontId="1" type="noConversion"/>
  </si>
  <si>
    <t>0</t>
  </si>
  <si>
    <t>D:\00gyk\02项目\4线管式摩托车\SW\</t>
  </si>
  <si>
    <t>GJ-SXGS-01 保护罩压装</t>
  </si>
  <si>
    <t>默认</t>
  </si>
  <si>
    <t>GJ-SXGS-01</t>
  </si>
  <si>
    <t>保护罩压装</t>
  </si>
  <si>
    <t>"SW-Material@零件1.SLDPRT"</t>
  </si>
  <si>
    <t>"SW-Mass@零件1.SLDPRT"</t>
  </si>
  <si>
    <t>机加件</t>
  </si>
  <si>
    <t>V1.0</t>
  </si>
  <si>
    <t>1.1</t>
  </si>
  <si>
    <t>液压-公用底座</t>
  </si>
  <si>
    <t>Cr12</t>
  </si>
  <si>
    <t>D:\00gyk\02项目\</t>
  </si>
  <si>
    <t>1.2</t>
  </si>
  <si>
    <t>4线管式-保护罩铆压-底座</t>
  </si>
  <si>
    <t>1.3</t>
  </si>
  <si>
    <t>4线管式-保护罩铆压-压头</t>
  </si>
  <si>
    <t>GJ-SXGS-02 密封圈压装</t>
  </si>
  <si>
    <t>GJ-SXGS-02</t>
  </si>
  <si>
    <t>密封圈压装</t>
  </si>
  <si>
    <t>2.1</t>
  </si>
  <si>
    <t>4线管式-密封圈压装-压头</t>
  </si>
  <si>
    <t>2.2</t>
  </si>
  <si>
    <t>气压-公用底座DN125</t>
  </si>
  <si>
    <t>2.3</t>
  </si>
  <si>
    <t>4线管式-密封圈压装-底座</t>
  </si>
  <si>
    <t>GJ-SXGS-03 尾管铆压</t>
  </si>
  <si>
    <t>GJ-SXGS-03</t>
  </si>
  <si>
    <t>尾管铆压</t>
  </si>
  <si>
    <t>3.1</t>
  </si>
  <si>
    <t>3.2</t>
  </si>
  <si>
    <t>4线管式-公用底座D12</t>
  </si>
  <si>
    <t>3.3</t>
  </si>
  <si>
    <t>4线管式-尾管铆压-压头</t>
  </si>
  <si>
    <t>GJ-SXGS-04 尾管压印</t>
  </si>
  <si>
    <t>GJ-SXGS-04</t>
  </si>
  <si>
    <t>尾管压印</t>
  </si>
  <si>
    <t>组件</t>
  </si>
  <si>
    <t>组装件</t>
  </si>
  <si>
    <t>4线管式-压印刀</t>
  </si>
  <si>
    <t>SKD-11</t>
  </si>
  <si>
    <t>4线管式-尾管压印-衬套</t>
  </si>
  <si>
    <t>GJ-SXGS-05 透气膜裁压</t>
  </si>
  <si>
    <t>GJ-SXGS-05</t>
  </si>
  <si>
    <t>透气膜裁压</t>
  </si>
  <si>
    <t>4线管式-裁膜-压头</t>
  </si>
  <si>
    <t>4线管式-裁膜-顶针</t>
  </si>
  <si>
    <t>4线管式-裁膜-底座</t>
  </si>
  <si>
    <t>GJ-SXGS-06 预压</t>
  </si>
  <si>
    <t>GJ-SXGS-06</t>
  </si>
  <si>
    <t>预压</t>
  </si>
  <si>
    <t>4线管式-预压-压头</t>
  </si>
  <si>
    <t>气压-公用底座DN80</t>
  </si>
  <si>
    <t>GJ-SXGS-08 涂油工装</t>
  </si>
  <si>
    <t>GJ-SXGS-08</t>
  </si>
  <si>
    <t>涂油工装</t>
  </si>
  <si>
    <t>Default</t>
  </si>
  <si>
    <t>4线管式-涂油-夹筒</t>
  </si>
  <si>
    <t>4线管式-涂油-夹爪</t>
  </si>
  <si>
    <t>GJ-SXGS-01保护罩压装"SW-Material@零件1.SLDPRT"</t>
  </si>
  <si>
    <t>GJ-SXGS-02密封圈压装"SW-Material@零件1.SLDPRT"</t>
  </si>
  <si>
    <t>GJ-SXGS-03尾管铆压"SW-Material@零件1.SLDPRT"</t>
  </si>
  <si>
    <t>GJ-SXGS-04尾管压印组件</t>
  </si>
  <si>
    <t>GJ-SXGS-05透气膜裁压组件</t>
  </si>
  <si>
    <t>GJ-SXGS-06预压组件</t>
  </si>
  <si>
    <t>GJ-SXGS-08涂油工装组件</t>
  </si>
  <si>
    <t>3.3</t>
    <phoneticPr fontId="1" type="noConversion"/>
  </si>
  <si>
    <t>5.3</t>
    <phoneticPr fontId="1" type="noConversion"/>
  </si>
  <si>
    <t>6.1</t>
    <phoneticPr fontId="1" type="noConversion"/>
  </si>
  <si>
    <t>1.1</t>
    <phoneticPr fontId="1" type="noConversion"/>
  </si>
  <si>
    <t>7</t>
    <phoneticPr fontId="1" type="noConversion"/>
  </si>
  <si>
    <t>路径</t>
    <phoneticPr fontId="1" type="noConversion"/>
  </si>
  <si>
    <t>8</t>
  </si>
  <si>
    <t>GJ-SXGS-09 TTA工装</t>
  </si>
  <si>
    <t>8.1</t>
  </si>
  <si>
    <t>4线管式-TTA-筒夹</t>
  </si>
  <si>
    <t>65Mn</t>
  </si>
  <si>
    <t>4线管式摩托车氧传感器-工装夹具</t>
  </si>
  <si>
    <t>GJ-SXGS-00</t>
  </si>
  <si>
    <t>2.1</t>
    <phoneticPr fontId="1" type="noConversion"/>
  </si>
  <si>
    <t>2.2</t>
    <phoneticPr fontId="1" type="noConversion"/>
  </si>
  <si>
    <t>4.2</t>
    <phoneticPr fontId="1" type="noConversion"/>
  </si>
  <si>
    <t>5.1</t>
    <phoneticPr fontId="1" type="noConversion"/>
  </si>
  <si>
    <t>6.2</t>
    <phoneticPr fontId="1" type="noConversion"/>
  </si>
  <si>
    <t>6.3</t>
    <phoneticPr fontId="1" type="noConversion"/>
  </si>
  <si>
    <t>7.2</t>
    <phoneticPr fontId="1" type="noConversion"/>
  </si>
  <si>
    <t>8</t>
    <phoneticPr fontId="1" type="noConversion"/>
  </si>
  <si>
    <t>8.1</t>
    <phoneticPr fontId="1" type="noConversion"/>
  </si>
  <si>
    <t>&lt;&lt;GJ-SXGS-004线管式摩托车氧传感器-工装夹具&gt;&gt; 外购件及标准件汇总表</t>
    <phoneticPr fontId="3" type="noConversion"/>
  </si>
  <si>
    <t>GJ-SXGS-00 4线管式摩托车氧传感器-工装夹具</t>
    <phoneticPr fontId="1" type="noConversion"/>
  </si>
  <si>
    <t>D:\00gyk\02项目\4线管式摩托车\SW\</t>
    <phoneticPr fontId="1" type="noConversion"/>
  </si>
  <si>
    <t>D00500033 液压-公用底座</t>
  </si>
  <si>
    <t>D00500033</t>
  </si>
  <si>
    <t>D00500035 4线管式-保护罩铆压-底座</t>
  </si>
  <si>
    <t>D00500035</t>
  </si>
  <si>
    <t>D00500034 4线管式-保护罩铆压-压头</t>
  </si>
  <si>
    <t>D00500034</t>
  </si>
  <si>
    <t>D00500036 4线管式-密封圈压装-压头</t>
  </si>
  <si>
    <t>D00500036</t>
  </si>
  <si>
    <t>D00500037 气压-公用底座DN125</t>
  </si>
  <si>
    <t>D00500037</t>
  </si>
  <si>
    <t>D00500038 4线管式-密封圈压装-底座</t>
  </si>
  <si>
    <t>D00500038</t>
  </si>
  <si>
    <t>D00500039 4线管式-公用底座D12</t>
  </si>
  <si>
    <t>D00500039</t>
  </si>
  <si>
    <t>D00500040 4线管式-尾管铆压-压头</t>
  </si>
  <si>
    <t>D00500040</t>
  </si>
  <si>
    <t>3.4</t>
  </si>
  <si>
    <t>D00500051 4线管式-尾管铆压-过渡压头</t>
  </si>
  <si>
    <t>D00500051</t>
  </si>
  <si>
    <t>4线管式-尾管铆压-过渡压头</t>
  </si>
  <si>
    <t>D00500041 4线管式-压印刀</t>
  </si>
  <si>
    <t>D00500041</t>
  </si>
  <si>
    <t>D00500042 4线管式-尾管压印-衬套</t>
  </si>
  <si>
    <t>D00500042</t>
  </si>
  <si>
    <t>D00500043 4线管式-裁膜-压头</t>
  </si>
  <si>
    <t>D00500043</t>
  </si>
  <si>
    <t>D00500044 4线管式-裁膜-顶针</t>
  </si>
  <si>
    <t>D00500044</t>
  </si>
  <si>
    <t>D00500045 4线管式-裁膜-底座</t>
  </si>
  <si>
    <t>D00500045</t>
  </si>
  <si>
    <t>D00500046 4线管式-预压-压头</t>
  </si>
  <si>
    <t>D00500046</t>
  </si>
  <si>
    <t>D00500047 气压-公用底座DN80</t>
  </si>
  <si>
    <t>D00500047</t>
  </si>
  <si>
    <t>D00500048 4线管式-涂油-夹筒</t>
  </si>
  <si>
    <t>D00500048</t>
  </si>
  <si>
    <t>D00500049 4线管式-涂油-夹爪</t>
  </si>
  <si>
    <t>D00500049</t>
  </si>
  <si>
    <t>GJ-SXGS-09</t>
  </si>
  <si>
    <t>TTA工装</t>
  </si>
  <si>
    <t>D00500050 4线管式-TTA-筒夹</t>
  </si>
  <si>
    <t>D00500050</t>
  </si>
  <si>
    <t>1</t>
    <phoneticPr fontId="1" type="noConversion"/>
  </si>
  <si>
    <t>1.2</t>
    <phoneticPr fontId="1" type="noConversion"/>
  </si>
  <si>
    <t>1.3</t>
    <phoneticPr fontId="1" type="noConversion"/>
  </si>
  <si>
    <t>2</t>
    <phoneticPr fontId="1" type="noConversion"/>
  </si>
  <si>
    <t>2.3</t>
    <phoneticPr fontId="1" type="noConversion"/>
  </si>
  <si>
    <t>3</t>
    <phoneticPr fontId="1" type="noConversion"/>
  </si>
  <si>
    <t>3.1</t>
    <phoneticPr fontId="1" type="noConversion"/>
  </si>
  <si>
    <t>3.2</t>
    <phoneticPr fontId="1" type="noConversion"/>
  </si>
  <si>
    <t>3.4</t>
    <phoneticPr fontId="1" type="noConversion"/>
  </si>
  <si>
    <t>4</t>
    <phoneticPr fontId="1" type="noConversion"/>
  </si>
  <si>
    <t>4.1</t>
    <phoneticPr fontId="1" type="noConversion"/>
  </si>
  <si>
    <t>5</t>
    <phoneticPr fontId="1" type="noConversion"/>
  </si>
  <si>
    <t>5.2</t>
    <phoneticPr fontId="1" type="noConversion"/>
  </si>
  <si>
    <t>6</t>
    <phoneticPr fontId="1" type="noConversion"/>
  </si>
  <si>
    <t>7.1</t>
    <phoneticPr fontId="1" type="noConversion"/>
  </si>
  <si>
    <t>D00500033液压-公用底座Cr12</t>
  </si>
  <si>
    <t>D005000354线管式-保护罩铆压-底座Cr12</t>
  </si>
  <si>
    <t>D005000344线管式-保护罩铆压-压头Cr12</t>
  </si>
  <si>
    <t>D005000364线管式-密封圈压装-压头Cr12</t>
  </si>
  <si>
    <t>D00500037气压-公用底座DN125Cr12</t>
  </si>
  <si>
    <t>D005000384线管式-密封圈压装-底座Cr12</t>
  </si>
  <si>
    <t>D005000394线管式-公用底座D12Cr12</t>
  </si>
  <si>
    <t>D005000404线管式-尾管铆压-压头Cr12</t>
  </si>
  <si>
    <t>D005000514线管式-尾管铆压-过渡压头Cr12</t>
  </si>
  <si>
    <t>D005000414线管式-压印刀SKD-11</t>
  </si>
  <si>
    <t>D005000424线管式-尾管压印-衬套Cr12</t>
  </si>
  <si>
    <t>D005000434线管式-裁膜-压头304</t>
  </si>
  <si>
    <t>D005000444线管式-裁膜-顶针Cr12</t>
  </si>
  <si>
    <t>D005000454线管式-裁膜-底座Cr12</t>
  </si>
  <si>
    <t>D005000464线管式-预压-压头Q235-A</t>
  </si>
  <si>
    <t>D00500047气压-公用底座DN80Cr12</t>
  </si>
  <si>
    <t>D005000484线管式-涂油-夹筒304</t>
  </si>
  <si>
    <t>D005000494线管式-涂油-夹爪304</t>
  </si>
  <si>
    <t>GJ-SXGS-09TTA工装组件</t>
  </si>
  <si>
    <t>D005000504线管式-TTA-筒夹65Mn</t>
  </si>
  <si>
    <t>&lt;&lt;GJ-SXGS-004线管式摩托车氧传感器-工装夹具&gt;&gt; 全汇总BOM</t>
    <phoneticPr fontId="3" type="noConversion"/>
  </si>
  <si>
    <t>&lt;&lt;GJ-SXGS-004线管式摩托车氧传感器-工装夹具&gt;&gt; 企标件汇总表</t>
    <phoneticPr fontId="1" type="noConversion"/>
  </si>
  <si>
    <t>4线管式-保护罩铆压-压头</t>
    <phoneticPr fontId="1" type="noConversion"/>
  </si>
  <si>
    <t>&lt;&lt;GJ-SXGS-004线管式摩托车氧传感器-工装夹具&gt;&gt; 加工件汇总表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</si>
</sst>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0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6"/>
      <color theme="1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2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  <scheme val="minor"/>
    </font>
    <font>
      <b/>
      <sz val="10"/>
      <color rgb="FF00B05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B1FE"/>
        <bgColor indexed="64"/>
      </patternFill>
    </fill>
    <fill>
      <patternFill patternType="solid">
        <fgColor rgb="FFE040F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13" fillId="0" borderId="0"/>
    <xf numFmtId="0" fontId="23" fillId="0" borderId="0" applyNumberFormat="0" applyFill="0" applyBorder="0" applyAlignment="0" applyProtection="0"/>
  </cellStyleXfs>
  <cellXfs count="117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center" vertical="center" shrinkToFit="1"/>
    </xf>
    <xf numFmtId="0" fontId="6" fillId="0" borderId="1" xfId="0" applyFont="1" applyFill="1" applyBorder="1" applyAlignment="1"/>
    <xf numFmtId="0" fontId="5" fillId="0" borderId="1" xfId="1" applyNumberFormat="1" applyFont="1" applyFill="1" applyBorder="1" applyAlignment="1">
      <alignment vertical="center" wrapText="1"/>
    </xf>
    <xf numFmtId="49" fontId="0" fillId="0" borderId="1" xfId="0" applyNumberFormat="1" applyFill="1" applyBorder="1" applyAlignment="1">
      <alignment horizontal="left" vertical="center" shrinkToFit="1"/>
    </xf>
    <xf numFmtId="49" fontId="9" fillId="0" borderId="1" xfId="0" applyNumberFormat="1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wrapText="1" shrinkToFit="1"/>
    </xf>
    <xf numFmtId="0" fontId="10" fillId="0" borderId="1" xfId="0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vertical="center" wrapText="1" shrinkToFit="1"/>
    </xf>
    <xf numFmtId="0" fontId="9" fillId="0" borderId="1" xfId="0" applyNumberFormat="1" applyFont="1" applyFill="1" applyBorder="1" applyAlignment="1">
      <alignment horizontal="center" vertical="center" wrapText="1" shrinkToFit="1"/>
    </xf>
    <xf numFmtId="49" fontId="9" fillId="0" borderId="1" xfId="0" applyNumberFormat="1" applyFont="1" applyFill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 shrinkToFit="1"/>
    </xf>
    <xf numFmtId="0" fontId="0" fillId="0" borderId="1" xfId="0" applyFill="1" applyBorder="1" applyAlignment="1">
      <alignment horizontal="center" shrinkToFi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18" fillId="0" borderId="1" xfId="2" applyFont="1" applyBorder="1" applyAlignment="1">
      <alignment horizontal="center" vertical="center" shrinkToFit="1"/>
    </xf>
    <xf numFmtId="0" fontId="18" fillId="0" borderId="1" xfId="2" applyFont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shrinkToFit="1"/>
    </xf>
    <xf numFmtId="0" fontId="18" fillId="0" borderId="1" xfId="2" applyFont="1" applyFill="1" applyBorder="1" applyAlignment="1">
      <alignment horizontal="center" vertical="center"/>
    </xf>
    <xf numFmtId="0" fontId="13" fillId="0" borderId="1" xfId="2" applyBorder="1"/>
    <xf numFmtId="0" fontId="2" fillId="0" borderId="1" xfId="2" applyFont="1" applyBorder="1"/>
    <xf numFmtId="0" fontId="13" fillId="0" borderId="1" xfId="2" applyBorder="1" applyAlignment="1">
      <alignment shrinkToFit="1"/>
    </xf>
    <xf numFmtId="0" fontId="18" fillId="0" borderId="1" xfId="2" applyFont="1" applyFill="1" applyBorder="1" applyAlignment="1">
      <alignment horizontal="left" vertical="center" shrinkToFit="1"/>
    </xf>
    <xf numFmtId="0" fontId="13" fillId="0" borderId="1" xfId="2" applyBorder="1" applyAlignment="1">
      <alignment horizontal="left" shrinkToFit="1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8" fillId="0" borderId="1" xfId="2" applyFont="1" applyFill="1" applyBorder="1"/>
    <xf numFmtId="0" fontId="6" fillId="2" borderId="1" xfId="0" applyFont="1" applyFill="1" applyBorder="1" applyAlignment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0" fillId="0" borderId="1" xfId="0" applyNumberFormat="1" applyBorder="1">
      <alignment vertical="center"/>
    </xf>
    <xf numFmtId="0" fontId="6" fillId="0" borderId="1" xfId="0" applyFont="1" applyFill="1" applyBorder="1" applyAlignment="1">
      <alignment shrinkToFit="1"/>
    </xf>
    <xf numFmtId="0" fontId="9" fillId="0" borderId="1" xfId="0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shrinkToFit="1"/>
    </xf>
    <xf numFmtId="0" fontId="6" fillId="0" borderId="1" xfId="0" applyFont="1" applyFill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20" fillId="0" borderId="1" xfId="0" applyFont="1" applyFill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0" fontId="19" fillId="6" borderId="0" xfId="0" applyFont="1" applyFill="1" applyAlignment="1">
      <alignment vertical="center" shrinkToFit="1"/>
    </xf>
    <xf numFmtId="0" fontId="6" fillId="6" borderId="0" xfId="0" applyFont="1" applyFill="1" applyAlignment="1">
      <alignment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11" fillId="0" borderId="0" xfId="0" applyNumberFormat="1" applyFont="1" applyAlignment="1">
      <alignment horizontal="left" vertical="center" wrapText="1" shrinkToFit="1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21" fillId="0" borderId="1" xfId="0" applyNumberFormat="1" applyFont="1" applyFill="1" applyBorder="1" applyAlignment="1">
      <alignment horizontal="center" wrapText="1" shrinkToFit="1"/>
    </xf>
    <xf numFmtId="0" fontId="21" fillId="0" borderId="1" xfId="0" applyFont="1" applyFill="1" applyBorder="1" applyAlignment="1">
      <alignment horizontal="center" wrapText="1" shrinkToFit="1"/>
    </xf>
    <xf numFmtId="49" fontId="0" fillId="0" borderId="0" xfId="0" applyNumberFormat="1" applyBorder="1" applyAlignment="1">
      <alignment horizontal="left" vertical="center" shrinkToFit="1"/>
    </xf>
    <xf numFmtId="49" fontId="0" fillId="3" borderId="0" xfId="0" applyNumberFormat="1" applyFill="1" applyBorder="1" applyAlignment="1">
      <alignment horizontal="left" vertical="center" shrinkToFit="1"/>
    </xf>
    <xf numFmtId="0" fontId="0" fillId="0" borderId="0" xfId="0" applyBorder="1" applyAlignment="1">
      <alignment horizontal="center" vertical="center" shrinkToFit="1"/>
    </xf>
    <xf numFmtId="0" fontId="0" fillId="4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49" fontId="9" fillId="0" borderId="0" xfId="0" applyNumberFormat="1" applyFont="1" applyBorder="1" applyAlignment="1">
      <alignment horizontal="center" wrapText="1" shrinkToFit="1"/>
    </xf>
    <xf numFmtId="0" fontId="9" fillId="0" borderId="0" xfId="0" applyFont="1" applyBorder="1" applyAlignment="1">
      <alignment horizontal="center" wrapText="1" shrinkToFit="1"/>
    </xf>
    <xf numFmtId="0" fontId="9" fillId="4" borderId="0" xfId="0" applyFont="1" applyFill="1" applyBorder="1" applyAlignment="1">
      <alignment horizontal="center" wrapText="1" shrinkToFit="1"/>
    </xf>
    <xf numFmtId="0" fontId="10" fillId="3" borderId="0" xfId="0" applyFont="1" applyFill="1" applyBorder="1" applyAlignment="1">
      <alignment horizontal="center" wrapText="1" shrinkToFit="1"/>
    </xf>
    <xf numFmtId="0" fontId="9" fillId="3" borderId="0" xfId="0" applyFont="1" applyFill="1" applyBorder="1" applyAlignment="1">
      <alignment horizontal="center" wrapText="1" shrinkToFit="1"/>
    </xf>
    <xf numFmtId="0" fontId="10" fillId="0" borderId="0" xfId="0" applyFont="1" applyBorder="1" applyAlignment="1">
      <alignment horizontal="center" wrapText="1" shrinkToFit="1"/>
    </xf>
    <xf numFmtId="0" fontId="19" fillId="6" borderId="0" xfId="0" applyFont="1" applyFill="1" applyBorder="1" applyAlignment="1">
      <alignment vertical="center" shrinkToFit="1"/>
    </xf>
    <xf numFmtId="0" fontId="6" fillId="6" borderId="0" xfId="0" applyFont="1" applyFill="1" applyBorder="1" applyAlignment="1">
      <alignment vertical="center" shrinkToFit="1"/>
    </xf>
    <xf numFmtId="49" fontId="22" fillId="0" borderId="0" xfId="0" applyNumberFormat="1" applyFont="1" applyFill="1" applyBorder="1" applyAlignment="1" applyProtection="1">
      <alignment horizontal="left" vertical="center"/>
    </xf>
    <xf numFmtId="0" fontId="22" fillId="0" borderId="0" xfId="0" applyNumberFormat="1" applyFont="1" applyFill="1" applyBorder="1" applyAlignment="1" applyProtection="1">
      <alignment vertical="center" shrinkToFit="1"/>
    </xf>
    <xf numFmtId="0" fontId="22" fillId="0" borderId="0" xfId="0" applyNumberFormat="1" applyFont="1" applyFill="1" applyBorder="1" applyAlignment="1" applyProtection="1">
      <alignment vertical="center"/>
    </xf>
    <xf numFmtId="0" fontId="23" fillId="0" borderId="0" xfId="3" applyNumberFormat="1" applyFill="1" applyBorder="1" applyAlignment="1" applyProtection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left" vertical="center" shrinkToFit="1"/>
    </xf>
    <xf numFmtId="49" fontId="24" fillId="0" borderId="0" xfId="0" applyNumberFormat="1" applyFont="1" applyBorder="1" applyAlignment="1">
      <alignment horizontal="center" wrapText="1" shrinkToFit="1"/>
    </xf>
    <xf numFmtId="0" fontId="21" fillId="0" borderId="1" xfId="0" applyNumberFormat="1" applyFont="1" applyFill="1" applyBorder="1" applyAlignment="1">
      <alignment horizontal="center" vertical="center" wrapText="1" shrinkToFit="1"/>
    </xf>
    <xf numFmtId="0" fontId="0" fillId="7" borderId="0" xfId="0" applyFill="1" applyBorder="1" applyAlignment="1">
      <alignment horizontal="center" vertical="center" shrinkToFit="1"/>
    </xf>
    <xf numFmtId="0" fontId="0" fillId="8" borderId="0" xfId="0" applyFill="1" applyBorder="1" applyAlignment="1">
      <alignment horizontal="center" vertical="center" shrinkToFit="1"/>
    </xf>
    <xf numFmtId="0" fontId="0" fillId="0" borderId="0" xfId="0" applyBorder="1" applyAlignment="1">
      <alignment horizontal="left" vertical="center" shrinkToFit="1"/>
    </xf>
    <xf numFmtId="0" fontId="22" fillId="0" borderId="0" xfId="0" applyNumberFormat="1" applyFont="1" applyFill="1" applyBorder="1" applyAlignment="1" applyProtection="1">
      <alignment horizontal="left" vertical="center" shrinkToFit="1"/>
    </xf>
    <xf numFmtId="0" fontId="0" fillId="0" borderId="0" xfId="0" applyFill="1" applyBorder="1" applyAlignment="1">
      <alignment horizontal="left" vertical="center" shrinkToFit="1"/>
    </xf>
    <xf numFmtId="49" fontId="8" fillId="0" borderId="3" xfId="0" applyNumberFormat="1" applyFont="1" applyFill="1" applyBorder="1" applyAlignment="1">
      <alignment horizontal="center" vertical="center" shrinkToFit="1"/>
    </xf>
    <xf numFmtId="49" fontId="8" fillId="0" borderId="4" xfId="0" applyNumberFormat="1" applyFont="1" applyFill="1" applyBorder="1" applyAlignment="1">
      <alignment horizontal="center" vertical="center" shrinkToFit="1"/>
    </xf>
    <xf numFmtId="49" fontId="8" fillId="0" borderId="2" xfId="0" applyNumberFormat="1" applyFont="1" applyFill="1" applyBorder="1" applyAlignment="1">
      <alignment horizontal="center" vertical="center" shrinkToFit="1"/>
    </xf>
    <xf numFmtId="0" fontId="7" fillId="0" borderId="3" xfId="1" applyNumberFormat="1" applyFont="1" applyFill="1" applyBorder="1" applyAlignment="1">
      <alignment horizontal="center" vertical="center" shrinkToFit="1"/>
    </xf>
    <xf numFmtId="0" fontId="7" fillId="0" borderId="4" xfId="1" applyNumberFormat="1" applyFont="1" applyFill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49" fontId="8" fillId="0" borderId="1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7" fillId="0" borderId="1" xfId="1" applyNumberFormat="1" applyFont="1" applyFill="1" applyBorder="1" applyAlignment="1">
      <alignment horizontal="center" vertical="center" wrapText="1"/>
    </xf>
    <xf numFmtId="0" fontId="7" fillId="0" borderId="3" xfId="1" applyNumberFormat="1" applyFont="1" applyFill="1" applyBorder="1" applyAlignment="1">
      <alignment horizontal="center" vertical="center" wrapText="1"/>
    </xf>
    <xf numFmtId="0" fontId="7" fillId="0" borderId="4" xfId="1" applyNumberFormat="1" applyFont="1" applyFill="1" applyBorder="1" applyAlignment="1">
      <alignment horizontal="center" vertical="center" wrapText="1"/>
    </xf>
    <xf numFmtId="0" fontId="7" fillId="0" borderId="2" xfId="1" applyNumberFormat="1" applyFont="1" applyFill="1" applyBorder="1" applyAlignment="1">
      <alignment horizontal="center" vertical="center" wrapText="1"/>
    </xf>
    <xf numFmtId="0" fontId="14" fillId="0" borderId="1" xfId="2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3" fillId="0" borderId="1" xfId="2" applyBorder="1" applyAlignment="1">
      <alignment horizontal="center" vertical="center"/>
    </xf>
  </cellXfs>
  <cellStyles count="4">
    <cellStyle name="常规" xfId="0" builtinId="0"/>
    <cellStyle name="常规 2" xfId="2"/>
    <cellStyle name="常规 7" xfId="1"/>
    <cellStyle name="超链接" xfId="3" builtinId="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381000</xdr:colOff>
          <xdr:row>0</xdr:row>
          <xdr:rowOff>0</xdr:rowOff>
        </xdr:from>
        <xdr:to>
          <xdr:col>25</xdr:col>
          <xdr:colOff>333375</xdr:colOff>
          <xdr:row>0</xdr:row>
          <xdr:rowOff>238125</xdr:rowOff>
        </xdr:to>
        <xdr:sp macro="" textlink="">
          <xdr:nvSpPr>
            <xdr:cNvPr id="1026" name="CommandButton导出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647700</xdr:colOff>
          <xdr:row>0</xdr:row>
          <xdr:rowOff>0</xdr:rowOff>
        </xdr:from>
        <xdr:to>
          <xdr:col>8</xdr:col>
          <xdr:colOff>57150</xdr:colOff>
          <xdr:row>0</xdr:row>
          <xdr:rowOff>257175</xdr:rowOff>
        </xdr:to>
        <xdr:sp macro="" textlink="">
          <xdr:nvSpPr>
            <xdr:cNvPr id="1027" name="CommandButton算每台数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200025</xdr:colOff>
          <xdr:row>0</xdr:row>
          <xdr:rowOff>0</xdr:rowOff>
        </xdr:from>
        <xdr:to>
          <xdr:col>21</xdr:col>
          <xdr:colOff>133350</xdr:colOff>
          <xdr:row>0</xdr:row>
          <xdr:rowOff>247650</xdr:rowOff>
        </xdr:to>
        <xdr:sp macro="" textlink="">
          <xdr:nvSpPr>
            <xdr:cNvPr id="1120" name="CommandButton原材料汇总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152400</xdr:colOff>
          <xdr:row>0</xdr:row>
          <xdr:rowOff>0</xdr:rowOff>
        </xdr:from>
        <xdr:to>
          <xdr:col>18</xdr:col>
          <xdr:colOff>123825</xdr:colOff>
          <xdr:row>0</xdr:row>
          <xdr:rowOff>247650</xdr:rowOff>
        </xdr:to>
        <xdr:sp macro="" textlink="">
          <xdr:nvSpPr>
            <xdr:cNvPr id="1121" name="CommandButton拆规格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0</xdr:row>
          <xdr:rowOff>0</xdr:rowOff>
        </xdr:from>
        <xdr:to>
          <xdr:col>1</xdr:col>
          <xdr:colOff>714375</xdr:colOff>
          <xdr:row>0</xdr:row>
          <xdr:rowOff>257175</xdr:rowOff>
        </xdr:to>
        <xdr:sp macro="" textlink="">
          <xdr:nvSpPr>
            <xdr:cNvPr id="1122" name="CommandButton分层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190500</xdr:colOff>
          <xdr:row>0</xdr:row>
          <xdr:rowOff>0</xdr:rowOff>
        </xdr:from>
        <xdr:to>
          <xdr:col>23</xdr:col>
          <xdr:colOff>219075</xdr:colOff>
          <xdr:row>0</xdr:row>
          <xdr:rowOff>238125</xdr:rowOff>
        </xdr:to>
        <xdr:sp macro="" textlink="">
          <xdr:nvSpPr>
            <xdr:cNvPr id="1123" name="CommandButton其他汇总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0</xdr:row>
          <xdr:rowOff>0</xdr:rowOff>
        </xdr:from>
        <xdr:to>
          <xdr:col>13</xdr:col>
          <xdr:colOff>114300</xdr:colOff>
          <xdr:row>0</xdr:row>
          <xdr:rowOff>238125</xdr:rowOff>
        </xdr:to>
        <xdr:sp macro="" textlink="">
          <xdr:nvSpPr>
            <xdr:cNvPr id="1124" name="CommandButton提取部分备注信息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247650</xdr:colOff>
          <xdr:row>0</xdr:row>
          <xdr:rowOff>257175</xdr:rowOff>
        </xdr:to>
        <xdr:sp macro="" textlink="">
          <xdr:nvSpPr>
            <xdr:cNvPr id="1125" name="CommandButton读取b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0</xdr:row>
          <xdr:rowOff>0</xdr:rowOff>
        </xdr:from>
        <xdr:to>
          <xdr:col>3</xdr:col>
          <xdr:colOff>1076325</xdr:colOff>
          <xdr:row>0</xdr:row>
          <xdr:rowOff>257175</xdr:rowOff>
        </xdr:to>
        <xdr:sp macro="" textlink="">
          <xdr:nvSpPr>
            <xdr:cNvPr id="1127" name="清除空文件按钮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0</xdr:row>
          <xdr:rowOff>0</xdr:rowOff>
        </xdr:from>
        <xdr:to>
          <xdr:col>4</xdr:col>
          <xdr:colOff>828675</xdr:colOff>
          <xdr:row>0</xdr:row>
          <xdr:rowOff>200025</xdr:rowOff>
        </xdr:to>
        <xdr:sp macro="" textlink="">
          <xdr:nvSpPr>
            <xdr:cNvPr id="1128" name="CheckBox代号为空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314325</xdr:colOff>
          <xdr:row>0</xdr:row>
          <xdr:rowOff>0</xdr:rowOff>
        </xdr:from>
        <xdr:to>
          <xdr:col>24</xdr:col>
          <xdr:colOff>266700</xdr:colOff>
          <xdr:row>0</xdr:row>
          <xdr:rowOff>238125</xdr:rowOff>
        </xdr:to>
        <xdr:sp macro="" textlink="">
          <xdr:nvSpPr>
            <xdr:cNvPr id="1129" name="CommandButton另存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819150</xdr:colOff>
          <xdr:row>0</xdr:row>
          <xdr:rowOff>0</xdr:rowOff>
        </xdr:from>
        <xdr:to>
          <xdr:col>3</xdr:col>
          <xdr:colOff>9525</xdr:colOff>
          <xdr:row>0</xdr:row>
          <xdr:rowOff>209550</xdr:rowOff>
        </xdr:to>
        <xdr:sp macro="" textlink="">
          <xdr:nvSpPr>
            <xdr:cNvPr id="1130" name="CommandButton格式化项目号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22860</xdr:rowOff>
    </xdr:from>
    <xdr:to>
      <xdr:col>1</xdr:col>
      <xdr:colOff>655320</xdr:colOff>
      <xdr:row>1</xdr:row>
      <xdr:rowOff>129540</xdr:rowOff>
    </xdr:to>
    <xdr:pic>
      <xdr:nvPicPr>
        <xdr:cNvPr id="2" name="图片 2050" descr="76763325818100305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22860"/>
          <a:ext cx="912495" cy="6115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MFL/02&#39033;&#30446;/&#38134;&#36718;/MND-1030P11-2&#32593;&#24102;&#36890;&#36807;&#24335;&#25243;&#20024;&#26426;/swvba/&#35774;&#32622;&#26448;&#36136;+&#23646;&#24615;+&#21333;&#20301;=1804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>
        <row r="2">
          <cell r="G2" t="str">
            <v>钢板</v>
          </cell>
        </row>
        <row r="3">
          <cell r="G3" t="str">
            <v>钢管</v>
          </cell>
        </row>
        <row r="4">
          <cell r="G4" t="str">
            <v>圆钢</v>
          </cell>
        </row>
        <row r="5">
          <cell r="G5" t="str">
            <v>槽钢</v>
          </cell>
        </row>
        <row r="6">
          <cell r="G6" t="str">
            <v>矩形管</v>
          </cell>
        </row>
        <row r="7">
          <cell r="G7" t="str">
            <v>方管</v>
          </cell>
        </row>
        <row r="8">
          <cell r="G8" t="str">
            <v>亚克力板</v>
          </cell>
        </row>
        <row r="9">
          <cell r="G9" t="str">
            <v>优力胶板</v>
          </cell>
        </row>
        <row r="10">
          <cell r="G10" t="str">
            <v>工字钢</v>
          </cell>
        </row>
        <row r="11">
          <cell r="G11" t="str">
            <v>C型钢</v>
          </cell>
        </row>
        <row r="12">
          <cell r="G12" t="str">
            <v>冲孔板</v>
          </cell>
        </row>
        <row r="13">
          <cell r="G13" t="str">
            <v>角钢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AC576"/>
  <sheetViews>
    <sheetView zoomScale="145" zoomScaleNormal="145" workbookViewId="0">
      <pane ySplit="3" topLeftCell="A4" activePane="bottomLeft" state="frozen"/>
      <selection pane="bottomLeft" activeCell="E21" sqref="E21"/>
    </sheetView>
  </sheetViews>
  <sheetFormatPr defaultRowHeight="15.95" customHeight="1" x14ac:dyDescent="0.15"/>
  <cols>
    <col min="1" max="1" width="5.125" style="74" customWidth="1"/>
    <col min="2" max="2" width="16" style="74" customWidth="1"/>
    <col min="3" max="3" width="4" style="74" customWidth="1"/>
    <col min="4" max="4" width="15.875" style="98" customWidth="1"/>
    <col min="5" max="5" width="11.875" style="76" customWidth="1"/>
    <col min="6" max="6" width="9" style="76" customWidth="1"/>
    <col min="7" max="7" width="3.875" style="76" customWidth="1"/>
    <col min="8" max="8" width="6.375" style="76" customWidth="1"/>
    <col min="9" max="9" width="4.5" style="76" customWidth="1"/>
    <col min="10" max="10" width="5.125" style="76" customWidth="1"/>
    <col min="11" max="11" width="4.375" style="76" customWidth="1"/>
    <col min="12" max="12" width="4.625" style="76" customWidth="1"/>
    <col min="13" max="13" width="9.375" style="76" customWidth="1"/>
    <col min="14" max="14" width="4.375" style="77" customWidth="1"/>
    <col min="15" max="15" width="4.875" style="78" customWidth="1"/>
    <col min="16" max="16" width="4.5" style="77" customWidth="1"/>
    <col min="17" max="17" width="3.875" style="78" customWidth="1"/>
    <col min="18" max="18" width="5.75" style="76" customWidth="1"/>
    <col min="19" max="20" width="4" style="76" customWidth="1"/>
    <col min="21" max="21" width="4.125" style="76" customWidth="1"/>
    <col min="22" max="22" width="4.125" style="77" customWidth="1"/>
    <col min="23" max="23" width="4.625" style="76" customWidth="1"/>
    <col min="24" max="16384" width="9" style="76"/>
  </cols>
  <sheetData>
    <row r="1" spans="1:29" ht="31.5" customHeight="1" x14ac:dyDescent="0.15">
      <c r="C1" s="75"/>
      <c r="Q1" s="76"/>
    </row>
    <row r="2" spans="1:29" s="84" customFormat="1" ht="42.75" customHeight="1" x14ac:dyDescent="0.15">
      <c r="A2" s="79" t="s">
        <v>862</v>
      </c>
      <c r="B2" s="94" t="s">
        <v>855</v>
      </c>
      <c r="C2" s="94" t="s">
        <v>856</v>
      </c>
      <c r="D2" s="80" t="s">
        <v>863</v>
      </c>
      <c r="E2" s="80" t="s">
        <v>864</v>
      </c>
      <c r="F2" s="80" t="s">
        <v>219</v>
      </c>
      <c r="G2" s="80" t="s">
        <v>865</v>
      </c>
      <c r="H2" s="80" t="s">
        <v>857</v>
      </c>
      <c r="I2" s="80" t="s">
        <v>858</v>
      </c>
      <c r="J2" s="80" t="s">
        <v>859</v>
      </c>
      <c r="K2" s="80" t="s">
        <v>860</v>
      </c>
      <c r="L2" s="80" t="s">
        <v>861</v>
      </c>
      <c r="M2" s="80" t="s">
        <v>866</v>
      </c>
      <c r="N2" s="81" t="s">
        <v>960</v>
      </c>
      <c r="O2" s="82" t="s">
        <v>78</v>
      </c>
      <c r="P2" s="81" t="s">
        <v>79</v>
      </c>
      <c r="Q2" s="83" t="s">
        <v>80</v>
      </c>
      <c r="R2" s="80" t="s">
        <v>81</v>
      </c>
      <c r="S2" s="80" t="s">
        <v>82</v>
      </c>
      <c r="T2" s="80" t="s">
        <v>83</v>
      </c>
      <c r="U2" s="80" t="s">
        <v>84</v>
      </c>
      <c r="V2" s="81" t="s">
        <v>85</v>
      </c>
      <c r="W2" s="83" t="s">
        <v>86</v>
      </c>
      <c r="Y2" s="85"/>
      <c r="Z2" s="85"/>
      <c r="AA2" s="86"/>
      <c r="AB2" s="85"/>
      <c r="AC2" s="86"/>
    </row>
    <row r="3" spans="1:29" ht="15.95" customHeight="1" x14ac:dyDescent="0.15">
      <c r="A3" s="87" t="s">
        <v>874</v>
      </c>
      <c r="B3" s="88" t="s">
        <v>978</v>
      </c>
      <c r="C3" s="88"/>
      <c r="D3" s="99" t="s">
        <v>967</v>
      </c>
      <c r="E3" s="88" t="s">
        <v>966</v>
      </c>
      <c r="F3" s="89"/>
      <c r="G3" s="90"/>
      <c r="H3" s="89"/>
      <c r="I3" s="91"/>
      <c r="J3" s="91"/>
      <c r="K3" s="91"/>
      <c r="L3" s="91"/>
      <c r="M3" s="91"/>
      <c r="N3" s="91" t="s">
        <v>979</v>
      </c>
      <c r="O3" s="91"/>
      <c r="P3" s="91"/>
      <c r="Q3" s="91"/>
      <c r="R3" s="91"/>
      <c r="S3" s="91"/>
      <c r="T3" s="91"/>
      <c r="U3" s="92"/>
      <c r="V3" s="91"/>
      <c r="W3" s="91"/>
    </row>
    <row r="4" spans="1:29" ht="15.95" customHeight="1" x14ac:dyDescent="0.15">
      <c r="A4" s="93" t="s">
        <v>1022</v>
      </c>
      <c r="B4" s="93" t="s">
        <v>890</v>
      </c>
      <c r="C4" s="93" t="s">
        <v>891</v>
      </c>
      <c r="D4" s="100" t="s">
        <v>892</v>
      </c>
      <c r="E4" s="91" t="s">
        <v>893</v>
      </c>
      <c r="F4" s="91"/>
      <c r="G4" s="91">
        <v>1</v>
      </c>
      <c r="H4" s="91" t="s">
        <v>894</v>
      </c>
      <c r="I4" s="91" t="s">
        <v>895</v>
      </c>
      <c r="J4" s="91" t="s">
        <v>927</v>
      </c>
      <c r="K4" s="91"/>
      <c r="L4" s="91" t="s">
        <v>897</v>
      </c>
      <c r="M4" s="91"/>
      <c r="N4" s="91" t="s">
        <v>889</v>
      </c>
      <c r="O4" s="91" t="s">
        <v>948</v>
      </c>
      <c r="P4" s="91">
        <v>1</v>
      </c>
      <c r="Q4" s="91">
        <v>1</v>
      </c>
      <c r="R4" s="91"/>
      <c r="S4" s="91"/>
      <c r="T4" s="91"/>
      <c r="U4" s="91"/>
      <c r="V4" s="91"/>
      <c r="W4" s="91"/>
    </row>
    <row r="5" spans="1:29" ht="15.95" customHeight="1" x14ac:dyDescent="0.15">
      <c r="A5" s="93" t="s">
        <v>958</v>
      </c>
      <c r="B5" s="93" t="s">
        <v>980</v>
      </c>
      <c r="C5" s="93" t="s">
        <v>891</v>
      </c>
      <c r="D5" s="100" t="s">
        <v>981</v>
      </c>
      <c r="E5" s="91" t="s">
        <v>899</v>
      </c>
      <c r="F5" s="91"/>
      <c r="G5" s="91">
        <v>1</v>
      </c>
      <c r="H5" s="91" t="s">
        <v>900</v>
      </c>
      <c r="I5" s="91">
        <v>0.6</v>
      </c>
      <c r="J5" s="91" t="s">
        <v>896</v>
      </c>
      <c r="K5" s="91"/>
      <c r="L5" s="91" t="s">
        <v>897</v>
      </c>
      <c r="M5" s="91"/>
      <c r="N5" s="91" t="s">
        <v>901</v>
      </c>
      <c r="O5" s="91" t="s">
        <v>1037</v>
      </c>
      <c r="P5" s="91">
        <v>1</v>
      </c>
      <c r="Q5" s="96">
        <v>2</v>
      </c>
      <c r="R5" s="91"/>
      <c r="S5" s="91"/>
      <c r="T5" s="91"/>
      <c r="U5" s="91"/>
      <c r="V5" s="91"/>
      <c r="W5" s="91"/>
    </row>
    <row r="6" spans="1:29" ht="15.95" customHeight="1" x14ac:dyDescent="0.15">
      <c r="A6" s="93" t="s">
        <v>1023</v>
      </c>
      <c r="B6" s="93" t="s">
        <v>982</v>
      </c>
      <c r="C6" s="93" t="s">
        <v>891</v>
      </c>
      <c r="D6" s="100" t="s">
        <v>983</v>
      </c>
      <c r="E6" s="91" t="s">
        <v>903</v>
      </c>
      <c r="F6" s="91"/>
      <c r="G6" s="91">
        <v>1</v>
      </c>
      <c r="H6" s="91" t="s">
        <v>900</v>
      </c>
      <c r="I6" s="91">
        <v>0.1</v>
      </c>
      <c r="J6" s="91" t="s">
        <v>896</v>
      </c>
      <c r="K6" s="91"/>
      <c r="L6" s="91" t="s">
        <v>897</v>
      </c>
      <c r="M6" s="91"/>
      <c r="N6" s="91" t="s">
        <v>889</v>
      </c>
      <c r="O6" s="91" t="s">
        <v>1038</v>
      </c>
      <c r="P6" s="91">
        <v>1</v>
      </c>
      <c r="Q6" s="91">
        <v>1</v>
      </c>
      <c r="R6" s="91"/>
      <c r="S6" s="91"/>
      <c r="T6" s="91"/>
      <c r="U6" s="91"/>
      <c r="V6" s="91"/>
      <c r="W6" s="91"/>
    </row>
    <row r="7" spans="1:29" ht="15.95" customHeight="1" x14ac:dyDescent="0.15">
      <c r="A7" s="93" t="s">
        <v>1024</v>
      </c>
      <c r="B7" s="93" t="s">
        <v>984</v>
      </c>
      <c r="C7" s="93" t="s">
        <v>891</v>
      </c>
      <c r="D7" s="100" t="s">
        <v>985</v>
      </c>
      <c r="E7" s="91" t="s">
        <v>905</v>
      </c>
      <c r="F7" s="91"/>
      <c r="G7" s="91">
        <v>1</v>
      </c>
      <c r="H7" s="91" t="s">
        <v>900</v>
      </c>
      <c r="I7" s="91">
        <v>0.4</v>
      </c>
      <c r="J7" s="91" t="s">
        <v>896</v>
      </c>
      <c r="K7" s="91"/>
      <c r="L7" s="91" t="s">
        <v>897</v>
      </c>
      <c r="M7" s="91" t="s">
        <v>841</v>
      </c>
      <c r="N7" s="91" t="s">
        <v>889</v>
      </c>
      <c r="O7" s="91" t="s">
        <v>1039</v>
      </c>
      <c r="P7" s="91">
        <v>1</v>
      </c>
      <c r="Q7" s="91">
        <v>1</v>
      </c>
      <c r="R7" s="91"/>
      <c r="S7" s="91"/>
      <c r="T7" s="91"/>
      <c r="U7" s="91"/>
      <c r="V7" s="91"/>
      <c r="W7" s="91"/>
    </row>
    <row r="8" spans="1:29" ht="15.95" customHeight="1" x14ac:dyDescent="0.15">
      <c r="A8" s="93" t="s">
        <v>1025</v>
      </c>
      <c r="B8" s="93" t="s">
        <v>906</v>
      </c>
      <c r="C8" s="93" t="s">
        <v>891</v>
      </c>
      <c r="D8" s="100" t="s">
        <v>907</v>
      </c>
      <c r="E8" s="91" t="s">
        <v>908</v>
      </c>
      <c r="F8" s="91"/>
      <c r="G8" s="91">
        <v>1</v>
      </c>
      <c r="H8" s="91" t="s">
        <v>894</v>
      </c>
      <c r="I8" s="91" t="s">
        <v>895</v>
      </c>
      <c r="J8" s="91" t="s">
        <v>927</v>
      </c>
      <c r="K8" s="91"/>
      <c r="L8" s="91" t="s">
        <v>897</v>
      </c>
      <c r="M8" s="91"/>
      <c r="N8" s="91" t="s">
        <v>889</v>
      </c>
      <c r="O8" s="91" t="s">
        <v>949</v>
      </c>
      <c r="P8" s="91">
        <v>1</v>
      </c>
      <c r="Q8" s="91">
        <v>1</v>
      </c>
      <c r="R8" s="91"/>
      <c r="S8" s="91"/>
      <c r="T8" s="91"/>
      <c r="U8" s="91"/>
      <c r="V8" s="91"/>
      <c r="W8" s="91"/>
    </row>
    <row r="9" spans="1:29" ht="15.95" customHeight="1" x14ac:dyDescent="0.15">
      <c r="A9" s="93" t="s">
        <v>968</v>
      </c>
      <c r="B9" s="93" t="s">
        <v>986</v>
      </c>
      <c r="C9" s="93" t="s">
        <v>891</v>
      </c>
      <c r="D9" s="100" t="s">
        <v>987</v>
      </c>
      <c r="E9" s="91" t="s">
        <v>910</v>
      </c>
      <c r="F9" s="91"/>
      <c r="G9" s="91">
        <v>1</v>
      </c>
      <c r="H9" s="91" t="s">
        <v>900</v>
      </c>
      <c r="I9" s="91">
        <v>0.1</v>
      </c>
      <c r="J9" s="91" t="s">
        <v>896</v>
      </c>
      <c r="K9" s="91"/>
      <c r="L9" s="91" t="s">
        <v>897</v>
      </c>
      <c r="M9" s="91"/>
      <c r="N9" s="91" t="s">
        <v>889</v>
      </c>
      <c r="O9" s="91" t="s">
        <v>1040</v>
      </c>
      <c r="P9" s="91">
        <v>1</v>
      </c>
      <c r="Q9" s="91">
        <v>1</v>
      </c>
      <c r="R9" s="91"/>
      <c r="S9" s="91"/>
      <c r="T9" s="91"/>
      <c r="U9" s="91"/>
      <c r="V9" s="91"/>
      <c r="W9" s="91"/>
    </row>
    <row r="10" spans="1:29" ht="15.95" customHeight="1" x14ac:dyDescent="0.15">
      <c r="A10" s="93" t="s">
        <v>969</v>
      </c>
      <c r="B10" s="93" t="s">
        <v>988</v>
      </c>
      <c r="C10" s="93" t="s">
        <v>891</v>
      </c>
      <c r="D10" s="100" t="s">
        <v>989</v>
      </c>
      <c r="E10" s="91" t="s">
        <v>912</v>
      </c>
      <c r="F10" s="91"/>
      <c r="G10" s="91">
        <v>1</v>
      </c>
      <c r="H10" s="91" t="s">
        <v>900</v>
      </c>
      <c r="I10" s="91">
        <v>0.7</v>
      </c>
      <c r="J10" s="91" t="s">
        <v>896</v>
      </c>
      <c r="K10" s="91"/>
      <c r="L10" s="91" t="s">
        <v>897</v>
      </c>
      <c r="M10" s="91"/>
      <c r="N10" s="91" t="s">
        <v>901</v>
      </c>
      <c r="O10" s="91" t="s">
        <v>1041</v>
      </c>
      <c r="P10" s="91">
        <v>1</v>
      </c>
      <c r="Q10" s="91">
        <v>1</v>
      </c>
      <c r="R10" s="91"/>
      <c r="S10" s="91"/>
      <c r="T10" s="91"/>
      <c r="U10" s="91"/>
      <c r="V10" s="91"/>
      <c r="W10" s="91"/>
    </row>
    <row r="11" spans="1:29" ht="15.95" customHeight="1" x14ac:dyDescent="0.15">
      <c r="A11" s="93" t="s">
        <v>1026</v>
      </c>
      <c r="B11" s="93" t="s">
        <v>990</v>
      </c>
      <c r="C11" s="93" t="s">
        <v>891</v>
      </c>
      <c r="D11" s="100" t="s">
        <v>991</v>
      </c>
      <c r="E11" s="91" t="s">
        <v>914</v>
      </c>
      <c r="F11" s="91"/>
      <c r="G11" s="91">
        <v>1</v>
      </c>
      <c r="H11" s="91" t="s">
        <v>900</v>
      </c>
      <c r="I11" s="91">
        <v>0.1</v>
      </c>
      <c r="J11" s="91" t="s">
        <v>896</v>
      </c>
      <c r="K11" s="91"/>
      <c r="L11" s="91" t="s">
        <v>897</v>
      </c>
      <c r="M11" s="91"/>
      <c r="N11" s="91" t="s">
        <v>889</v>
      </c>
      <c r="O11" s="91" t="s">
        <v>1042</v>
      </c>
      <c r="P11" s="91">
        <v>1</v>
      </c>
      <c r="Q11" s="91">
        <v>1</v>
      </c>
      <c r="R11" s="91"/>
      <c r="S11" s="91"/>
      <c r="T11" s="91"/>
      <c r="U11" s="91"/>
      <c r="V11" s="91"/>
      <c r="W11" s="91"/>
    </row>
    <row r="12" spans="1:29" ht="15.95" customHeight="1" x14ac:dyDescent="0.15">
      <c r="A12" s="93" t="s">
        <v>1027</v>
      </c>
      <c r="B12" s="93" t="s">
        <v>915</v>
      </c>
      <c r="C12" s="93" t="s">
        <v>891</v>
      </c>
      <c r="D12" s="100" t="s">
        <v>916</v>
      </c>
      <c r="E12" s="91" t="s">
        <v>917</v>
      </c>
      <c r="F12" s="91"/>
      <c r="G12" s="91">
        <v>1</v>
      </c>
      <c r="H12" s="91" t="s">
        <v>894</v>
      </c>
      <c r="I12" s="91" t="s">
        <v>895</v>
      </c>
      <c r="J12" s="91" t="s">
        <v>927</v>
      </c>
      <c r="K12" s="91"/>
      <c r="L12" s="91" t="s">
        <v>897</v>
      </c>
      <c r="M12" s="91"/>
      <c r="N12" s="91" t="s">
        <v>889</v>
      </c>
      <c r="O12" s="91" t="s">
        <v>950</v>
      </c>
      <c r="P12" s="91">
        <v>1</v>
      </c>
      <c r="Q12" s="91">
        <v>1</v>
      </c>
      <c r="R12" s="91"/>
      <c r="S12" s="91"/>
      <c r="T12" s="91"/>
      <c r="U12" s="91"/>
      <c r="V12" s="91"/>
      <c r="W12" s="91"/>
    </row>
    <row r="13" spans="1:29" ht="15.95" customHeight="1" x14ac:dyDescent="0.15">
      <c r="A13" s="93" t="s">
        <v>1028</v>
      </c>
      <c r="B13" s="93" t="s">
        <v>980</v>
      </c>
      <c r="C13" s="93" t="s">
        <v>891</v>
      </c>
      <c r="D13" s="100" t="s">
        <v>981</v>
      </c>
      <c r="E13" s="91" t="s">
        <v>899</v>
      </c>
      <c r="F13" s="91"/>
      <c r="G13" s="91">
        <v>1</v>
      </c>
      <c r="H13" s="91" t="s">
        <v>900</v>
      </c>
      <c r="I13" s="91">
        <v>0.6</v>
      </c>
      <c r="J13" s="91" t="s">
        <v>896</v>
      </c>
      <c r="K13" s="91"/>
      <c r="L13" s="91" t="s">
        <v>897</v>
      </c>
      <c r="M13" s="91"/>
      <c r="N13" s="91" t="s">
        <v>901</v>
      </c>
      <c r="O13" s="91" t="s">
        <v>1037</v>
      </c>
      <c r="P13" s="91">
        <v>1</v>
      </c>
      <c r="Q13" s="96">
        <f>Q5</f>
        <v>2</v>
      </c>
      <c r="R13" s="91"/>
      <c r="S13" s="91"/>
      <c r="T13" s="91"/>
      <c r="U13" s="91"/>
      <c r="V13" s="91"/>
      <c r="W13" s="91"/>
    </row>
    <row r="14" spans="1:29" ht="15.95" customHeight="1" x14ac:dyDescent="0.15">
      <c r="A14" s="93" t="s">
        <v>1029</v>
      </c>
      <c r="B14" s="93" t="s">
        <v>992</v>
      </c>
      <c r="C14" s="93" t="s">
        <v>891</v>
      </c>
      <c r="D14" s="100" t="s">
        <v>993</v>
      </c>
      <c r="E14" s="91" t="s">
        <v>920</v>
      </c>
      <c r="F14" s="91"/>
      <c r="G14" s="91">
        <v>1</v>
      </c>
      <c r="H14" s="91" t="s">
        <v>900</v>
      </c>
      <c r="I14" s="91">
        <v>0.4</v>
      </c>
      <c r="J14" s="91" t="s">
        <v>896</v>
      </c>
      <c r="K14" s="91"/>
      <c r="L14" s="91" t="s">
        <v>897</v>
      </c>
      <c r="M14" s="91"/>
      <c r="N14" s="91" t="s">
        <v>889</v>
      </c>
      <c r="O14" s="91" t="s">
        <v>1043</v>
      </c>
      <c r="P14" s="91">
        <v>1</v>
      </c>
      <c r="Q14" s="97">
        <v>2</v>
      </c>
      <c r="R14" s="91"/>
      <c r="S14" s="91"/>
      <c r="T14" s="91"/>
      <c r="U14" s="91"/>
      <c r="V14" s="91"/>
      <c r="W14" s="91"/>
    </row>
    <row r="15" spans="1:29" ht="15.95" customHeight="1" x14ac:dyDescent="0.15">
      <c r="A15" s="93" t="s">
        <v>955</v>
      </c>
      <c r="B15" s="93" t="s">
        <v>994</v>
      </c>
      <c r="C15" s="93" t="s">
        <v>891</v>
      </c>
      <c r="D15" s="100" t="s">
        <v>995</v>
      </c>
      <c r="E15" s="91" t="s">
        <v>922</v>
      </c>
      <c r="F15" s="91"/>
      <c r="G15" s="91">
        <v>1</v>
      </c>
      <c r="H15" s="91" t="s">
        <v>900</v>
      </c>
      <c r="I15" s="91">
        <v>0.2</v>
      </c>
      <c r="J15" s="91" t="s">
        <v>896</v>
      </c>
      <c r="K15" s="91"/>
      <c r="L15" s="91" t="s">
        <v>897</v>
      </c>
      <c r="M15" s="91" t="s">
        <v>841</v>
      </c>
      <c r="N15" s="91" t="s">
        <v>889</v>
      </c>
      <c r="O15" s="91" t="s">
        <v>1044</v>
      </c>
      <c r="P15" s="91">
        <v>1</v>
      </c>
      <c r="Q15" s="91">
        <v>1</v>
      </c>
      <c r="R15" s="91"/>
      <c r="S15" s="91"/>
      <c r="T15" s="91"/>
      <c r="U15" s="91"/>
      <c r="V15" s="91"/>
      <c r="W15" s="91"/>
    </row>
    <row r="16" spans="1:29" ht="15.95" customHeight="1" x14ac:dyDescent="0.15">
      <c r="A16" s="93" t="s">
        <v>1030</v>
      </c>
      <c r="B16" s="93" t="s">
        <v>997</v>
      </c>
      <c r="C16" s="93" t="s">
        <v>891</v>
      </c>
      <c r="D16" s="100" t="s">
        <v>998</v>
      </c>
      <c r="E16" s="91" t="s">
        <v>999</v>
      </c>
      <c r="F16" s="91"/>
      <c r="G16" s="91">
        <v>1</v>
      </c>
      <c r="H16" s="91" t="s">
        <v>900</v>
      </c>
      <c r="I16" s="91">
        <v>0.3</v>
      </c>
      <c r="J16" s="91" t="s">
        <v>896</v>
      </c>
      <c r="K16" s="91"/>
      <c r="L16" s="91" t="s">
        <v>897</v>
      </c>
      <c r="M16" s="91" t="s">
        <v>841</v>
      </c>
      <c r="N16" s="91" t="s">
        <v>889</v>
      </c>
      <c r="O16" s="91" t="s">
        <v>1045</v>
      </c>
      <c r="P16" s="91">
        <v>1</v>
      </c>
      <c r="Q16" s="91">
        <v>1</v>
      </c>
      <c r="R16" s="91"/>
      <c r="S16" s="91"/>
      <c r="T16" s="91"/>
      <c r="U16" s="91"/>
      <c r="V16" s="91"/>
      <c r="W16" s="91"/>
    </row>
    <row r="17" spans="1:23" ht="15.95" customHeight="1" x14ac:dyDescent="0.15">
      <c r="A17" s="93" t="s">
        <v>1031</v>
      </c>
      <c r="B17" s="93" t="s">
        <v>923</v>
      </c>
      <c r="C17" s="93" t="s">
        <v>891</v>
      </c>
      <c r="D17" s="100" t="s">
        <v>924</v>
      </c>
      <c r="E17" s="91" t="s">
        <v>925</v>
      </c>
      <c r="F17" s="91"/>
      <c r="G17" s="91">
        <v>1</v>
      </c>
      <c r="H17" s="91" t="s">
        <v>926</v>
      </c>
      <c r="I17" s="91" t="s">
        <v>895</v>
      </c>
      <c r="J17" s="91" t="s">
        <v>927</v>
      </c>
      <c r="K17" s="91"/>
      <c r="L17" s="91" t="s">
        <v>897</v>
      </c>
      <c r="M17" s="91"/>
      <c r="N17" s="91" t="s">
        <v>889</v>
      </c>
      <c r="O17" s="91" t="s">
        <v>951</v>
      </c>
      <c r="P17" s="91">
        <v>1</v>
      </c>
      <c r="Q17" s="91">
        <v>1</v>
      </c>
      <c r="R17" s="91"/>
      <c r="S17" s="91"/>
      <c r="T17" s="91"/>
      <c r="U17" s="91"/>
      <c r="V17" s="91"/>
      <c r="W17" s="91"/>
    </row>
    <row r="18" spans="1:23" ht="15.95" customHeight="1" x14ac:dyDescent="0.15">
      <c r="A18" s="93" t="s">
        <v>1032</v>
      </c>
      <c r="B18" s="93" t="s">
        <v>1000</v>
      </c>
      <c r="C18" s="93" t="s">
        <v>891</v>
      </c>
      <c r="D18" s="100" t="s">
        <v>1001</v>
      </c>
      <c r="E18" s="91" t="s">
        <v>928</v>
      </c>
      <c r="F18" s="91"/>
      <c r="G18" s="91">
        <v>8</v>
      </c>
      <c r="H18" s="91" t="s">
        <v>929</v>
      </c>
      <c r="I18" s="91">
        <v>0.1</v>
      </c>
      <c r="J18" s="91" t="s">
        <v>896</v>
      </c>
      <c r="K18" s="91"/>
      <c r="L18" s="91" t="s">
        <v>897</v>
      </c>
      <c r="M18" s="91" t="s">
        <v>841</v>
      </c>
      <c r="N18" s="91" t="s">
        <v>889</v>
      </c>
      <c r="O18" s="91" t="s">
        <v>1046</v>
      </c>
      <c r="P18" s="91">
        <v>8</v>
      </c>
      <c r="Q18" s="91">
        <v>8</v>
      </c>
      <c r="R18" s="91"/>
      <c r="S18" s="91"/>
      <c r="T18" s="91"/>
      <c r="U18" s="91"/>
      <c r="V18" s="91"/>
      <c r="W18" s="91"/>
    </row>
    <row r="19" spans="1:23" ht="15.95" customHeight="1" x14ac:dyDescent="0.15">
      <c r="A19" s="93" t="s">
        <v>970</v>
      </c>
      <c r="B19" s="93" t="s">
        <v>1002</v>
      </c>
      <c r="C19" s="93" t="s">
        <v>891</v>
      </c>
      <c r="D19" s="100" t="s">
        <v>1003</v>
      </c>
      <c r="E19" s="91" t="s">
        <v>930</v>
      </c>
      <c r="F19" s="91"/>
      <c r="G19" s="91">
        <v>1</v>
      </c>
      <c r="H19" s="91" t="s">
        <v>900</v>
      </c>
      <c r="I19" s="91">
        <v>0</v>
      </c>
      <c r="J19" s="91" t="s">
        <v>896</v>
      </c>
      <c r="K19" s="91"/>
      <c r="L19" s="91" t="s">
        <v>897</v>
      </c>
      <c r="M19" s="91" t="s">
        <v>841</v>
      </c>
      <c r="N19" s="91" t="s">
        <v>889</v>
      </c>
      <c r="O19" s="91" t="s">
        <v>1047</v>
      </c>
      <c r="P19" s="91">
        <v>1</v>
      </c>
      <c r="Q19" s="91">
        <v>1</v>
      </c>
      <c r="R19" s="91"/>
      <c r="S19" s="91"/>
      <c r="T19" s="91"/>
      <c r="U19" s="91"/>
      <c r="V19" s="91"/>
      <c r="W19" s="91"/>
    </row>
    <row r="20" spans="1:23" ht="15.95" customHeight="1" x14ac:dyDescent="0.15">
      <c r="A20" s="93" t="s">
        <v>1033</v>
      </c>
      <c r="B20" s="93" t="s">
        <v>931</v>
      </c>
      <c r="C20" s="93" t="s">
        <v>891</v>
      </c>
      <c r="D20" s="100" t="s">
        <v>932</v>
      </c>
      <c r="E20" s="91" t="s">
        <v>933</v>
      </c>
      <c r="F20" s="91"/>
      <c r="G20" s="91">
        <v>1</v>
      </c>
      <c r="H20" s="91" t="s">
        <v>926</v>
      </c>
      <c r="I20" s="91" t="s">
        <v>895</v>
      </c>
      <c r="J20" s="91" t="s">
        <v>927</v>
      </c>
      <c r="K20" s="91"/>
      <c r="L20" s="91" t="s">
        <v>897</v>
      </c>
      <c r="M20" s="91"/>
      <c r="N20" s="91" t="s">
        <v>889</v>
      </c>
      <c r="O20" s="91" t="s">
        <v>952</v>
      </c>
      <c r="P20" s="91">
        <v>1</v>
      </c>
      <c r="Q20" s="91">
        <v>1</v>
      </c>
      <c r="R20" s="91"/>
      <c r="S20" s="91"/>
      <c r="T20" s="91"/>
      <c r="U20" s="91"/>
      <c r="V20" s="91"/>
      <c r="W20" s="91"/>
    </row>
    <row r="21" spans="1:23" ht="15.95" customHeight="1" x14ac:dyDescent="0.15">
      <c r="A21" s="93" t="s">
        <v>971</v>
      </c>
      <c r="B21" s="93" t="s">
        <v>1004</v>
      </c>
      <c r="C21" s="93" t="s">
        <v>891</v>
      </c>
      <c r="D21" s="100" t="s">
        <v>1005</v>
      </c>
      <c r="E21" s="91" t="s">
        <v>934</v>
      </c>
      <c r="F21" s="91"/>
      <c r="G21" s="91">
        <v>1</v>
      </c>
      <c r="H21" s="91">
        <v>304</v>
      </c>
      <c r="I21" s="91">
        <v>0</v>
      </c>
      <c r="J21" s="91" t="s">
        <v>896</v>
      </c>
      <c r="K21" s="91"/>
      <c r="L21" s="91" t="s">
        <v>897</v>
      </c>
      <c r="M21" s="91"/>
      <c r="N21" s="91" t="s">
        <v>889</v>
      </c>
      <c r="O21" s="91" t="s">
        <v>1048</v>
      </c>
      <c r="P21" s="91">
        <v>1</v>
      </c>
      <c r="Q21" s="91">
        <v>1</v>
      </c>
      <c r="R21" s="91"/>
      <c r="S21" s="91"/>
      <c r="T21" s="91"/>
      <c r="U21" s="91"/>
      <c r="V21" s="91"/>
      <c r="W21" s="91"/>
    </row>
    <row r="22" spans="1:23" ht="15.95" customHeight="1" x14ac:dyDescent="0.15">
      <c r="A22" s="93" t="s">
        <v>1034</v>
      </c>
      <c r="B22" s="93" t="s">
        <v>1006</v>
      </c>
      <c r="C22" s="93" t="s">
        <v>891</v>
      </c>
      <c r="D22" s="100" t="s">
        <v>1007</v>
      </c>
      <c r="E22" s="91" t="s">
        <v>935</v>
      </c>
      <c r="F22" s="91"/>
      <c r="G22" s="91">
        <v>1</v>
      </c>
      <c r="H22" s="91" t="s">
        <v>900</v>
      </c>
      <c r="I22" s="91">
        <v>0</v>
      </c>
      <c r="J22" s="91" t="s">
        <v>896</v>
      </c>
      <c r="K22" s="91"/>
      <c r="L22" s="91" t="s">
        <v>897</v>
      </c>
      <c r="M22" s="91"/>
      <c r="N22" s="91" t="s">
        <v>889</v>
      </c>
      <c r="O22" s="91" t="s">
        <v>1049</v>
      </c>
      <c r="P22" s="91">
        <v>1</v>
      </c>
      <c r="Q22" s="91">
        <v>1</v>
      </c>
      <c r="R22" s="91"/>
      <c r="S22" s="91"/>
      <c r="T22" s="91"/>
      <c r="U22" s="91"/>
      <c r="V22" s="91"/>
      <c r="W22" s="91"/>
    </row>
    <row r="23" spans="1:23" ht="15.95" customHeight="1" x14ac:dyDescent="0.15">
      <c r="A23" s="93" t="s">
        <v>956</v>
      </c>
      <c r="B23" s="93" t="s">
        <v>1008</v>
      </c>
      <c r="C23" s="93" t="s">
        <v>891</v>
      </c>
      <c r="D23" s="100" t="s">
        <v>1009</v>
      </c>
      <c r="E23" s="91" t="s">
        <v>936</v>
      </c>
      <c r="F23" s="91"/>
      <c r="G23" s="91">
        <v>1</v>
      </c>
      <c r="H23" s="91" t="s">
        <v>900</v>
      </c>
      <c r="I23" s="91">
        <v>0.1</v>
      </c>
      <c r="J23" s="91" t="s">
        <v>896</v>
      </c>
      <c r="K23" s="91"/>
      <c r="L23" s="91" t="s">
        <v>897</v>
      </c>
      <c r="M23" s="91"/>
      <c r="N23" s="91" t="s">
        <v>889</v>
      </c>
      <c r="O23" s="91" t="s">
        <v>1050</v>
      </c>
      <c r="P23" s="91">
        <v>1</v>
      </c>
      <c r="Q23" s="91">
        <v>1</v>
      </c>
      <c r="R23" s="91"/>
      <c r="S23" s="91"/>
      <c r="T23" s="91"/>
      <c r="U23" s="91"/>
      <c r="V23" s="91"/>
      <c r="W23" s="91"/>
    </row>
    <row r="24" spans="1:23" ht="15.95" customHeight="1" x14ac:dyDescent="0.15">
      <c r="A24" s="93" t="s">
        <v>1035</v>
      </c>
      <c r="B24" s="93" t="s">
        <v>937</v>
      </c>
      <c r="C24" s="93" t="s">
        <v>891</v>
      </c>
      <c r="D24" s="100" t="s">
        <v>938</v>
      </c>
      <c r="E24" s="91" t="s">
        <v>939</v>
      </c>
      <c r="F24" s="91"/>
      <c r="G24" s="91">
        <v>1</v>
      </c>
      <c r="H24" s="91" t="s">
        <v>926</v>
      </c>
      <c r="I24" s="91" t="s">
        <v>895</v>
      </c>
      <c r="J24" s="91" t="s">
        <v>927</v>
      </c>
      <c r="K24" s="91"/>
      <c r="L24" s="91" t="s">
        <v>897</v>
      </c>
      <c r="M24" s="91"/>
      <c r="N24" s="91" t="s">
        <v>889</v>
      </c>
      <c r="O24" s="91" t="s">
        <v>953</v>
      </c>
      <c r="P24" s="91">
        <v>1</v>
      </c>
      <c r="Q24" s="91">
        <v>1</v>
      </c>
      <c r="R24" s="91"/>
      <c r="S24" s="91"/>
      <c r="T24" s="91"/>
      <c r="U24" s="91"/>
      <c r="V24" s="91"/>
      <c r="W24" s="91"/>
    </row>
    <row r="25" spans="1:23" ht="15.95" customHeight="1" x14ac:dyDescent="0.15">
      <c r="A25" s="93" t="s">
        <v>957</v>
      </c>
      <c r="B25" s="93" t="s">
        <v>1010</v>
      </c>
      <c r="C25" s="93" t="s">
        <v>891</v>
      </c>
      <c r="D25" s="100" t="s">
        <v>1011</v>
      </c>
      <c r="E25" s="91" t="s">
        <v>940</v>
      </c>
      <c r="F25" s="91"/>
      <c r="G25" s="91">
        <v>1</v>
      </c>
      <c r="H25" s="91" t="s">
        <v>5</v>
      </c>
      <c r="I25" s="91">
        <v>0</v>
      </c>
      <c r="J25" s="91" t="s">
        <v>896</v>
      </c>
      <c r="K25" s="91"/>
      <c r="L25" s="91" t="s">
        <v>897</v>
      </c>
      <c r="M25" s="91"/>
      <c r="N25" s="91" t="s">
        <v>889</v>
      </c>
      <c r="O25" s="91" t="s">
        <v>1051</v>
      </c>
      <c r="P25" s="91">
        <v>1</v>
      </c>
      <c r="Q25" s="91">
        <v>1</v>
      </c>
      <c r="R25" s="91"/>
      <c r="S25" s="91"/>
      <c r="T25" s="91"/>
      <c r="U25" s="91"/>
      <c r="V25" s="91"/>
      <c r="W25" s="91"/>
    </row>
    <row r="26" spans="1:23" ht="15.95" customHeight="1" x14ac:dyDescent="0.15">
      <c r="A26" s="93" t="s">
        <v>972</v>
      </c>
      <c r="B26" s="93" t="s">
        <v>1012</v>
      </c>
      <c r="C26" s="93" t="s">
        <v>891</v>
      </c>
      <c r="D26" s="100" t="s">
        <v>1013</v>
      </c>
      <c r="E26" s="91" t="s">
        <v>941</v>
      </c>
      <c r="F26" s="91"/>
      <c r="G26" s="91">
        <v>1</v>
      </c>
      <c r="H26" s="91" t="s">
        <v>900</v>
      </c>
      <c r="I26" s="91">
        <v>0.8</v>
      </c>
      <c r="J26" s="91" t="s">
        <v>896</v>
      </c>
      <c r="K26" s="91"/>
      <c r="L26" s="91" t="s">
        <v>897</v>
      </c>
      <c r="M26" s="91"/>
      <c r="N26" s="91" t="s">
        <v>901</v>
      </c>
      <c r="O26" s="91" t="s">
        <v>1052</v>
      </c>
      <c r="P26" s="91">
        <v>1</v>
      </c>
      <c r="Q26" s="91">
        <v>1</v>
      </c>
      <c r="R26" s="91"/>
      <c r="S26" s="91"/>
      <c r="T26" s="91"/>
      <c r="U26" s="91"/>
      <c r="V26" s="91"/>
      <c r="W26" s="91"/>
    </row>
    <row r="27" spans="1:23" ht="15.95" customHeight="1" x14ac:dyDescent="0.15">
      <c r="A27" s="93" t="s">
        <v>973</v>
      </c>
      <c r="B27" s="93" t="s">
        <v>992</v>
      </c>
      <c r="C27" s="93" t="s">
        <v>891</v>
      </c>
      <c r="D27" s="100" t="s">
        <v>993</v>
      </c>
      <c r="E27" s="91" t="s">
        <v>920</v>
      </c>
      <c r="F27" s="91"/>
      <c r="G27" s="91">
        <v>1</v>
      </c>
      <c r="H27" s="91" t="s">
        <v>900</v>
      </c>
      <c r="I27" s="91">
        <v>0.4</v>
      </c>
      <c r="J27" s="91" t="s">
        <v>896</v>
      </c>
      <c r="K27" s="91"/>
      <c r="L27" s="91" t="s">
        <v>897</v>
      </c>
      <c r="M27" s="91"/>
      <c r="N27" s="91" t="s">
        <v>889</v>
      </c>
      <c r="O27" s="91" t="s">
        <v>1043</v>
      </c>
      <c r="P27" s="91">
        <v>1</v>
      </c>
      <c r="Q27" s="97">
        <f>Q14</f>
        <v>2</v>
      </c>
      <c r="R27" s="91"/>
      <c r="S27" s="91"/>
      <c r="T27" s="91"/>
      <c r="U27" s="91"/>
      <c r="V27" s="91"/>
      <c r="W27" s="91"/>
    </row>
    <row r="28" spans="1:23" ht="15.95" customHeight="1" x14ac:dyDescent="0.15">
      <c r="A28" s="93" t="s">
        <v>959</v>
      </c>
      <c r="B28" s="93" t="s">
        <v>942</v>
      </c>
      <c r="C28" s="93" t="s">
        <v>891</v>
      </c>
      <c r="D28" s="100" t="s">
        <v>943</v>
      </c>
      <c r="E28" s="91" t="s">
        <v>944</v>
      </c>
      <c r="F28" s="91"/>
      <c r="G28" s="91">
        <v>1</v>
      </c>
      <c r="H28" s="91" t="s">
        <v>926</v>
      </c>
      <c r="I28" s="91" t="s">
        <v>895</v>
      </c>
      <c r="J28" s="91" t="s">
        <v>927</v>
      </c>
      <c r="K28" s="91"/>
      <c r="L28" s="91" t="s">
        <v>897</v>
      </c>
      <c r="M28" s="91"/>
      <c r="N28" s="91" t="s">
        <v>889</v>
      </c>
      <c r="O28" s="91" t="s">
        <v>954</v>
      </c>
      <c r="P28" s="91">
        <v>1</v>
      </c>
      <c r="Q28" s="91">
        <v>1</v>
      </c>
      <c r="R28" s="91"/>
      <c r="S28" s="91"/>
      <c r="T28" s="91"/>
      <c r="U28" s="91"/>
      <c r="V28" s="91"/>
      <c r="W28" s="91"/>
    </row>
    <row r="29" spans="1:23" ht="15.95" customHeight="1" x14ac:dyDescent="0.15">
      <c r="A29" s="93" t="s">
        <v>1036</v>
      </c>
      <c r="B29" s="93" t="s">
        <v>1014</v>
      </c>
      <c r="C29" s="93" t="s">
        <v>945</v>
      </c>
      <c r="D29" s="100" t="s">
        <v>1015</v>
      </c>
      <c r="E29" s="91" t="s">
        <v>946</v>
      </c>
      <c r="F29" s="91"/>
      <c r="G29" s="91">
        <v>1</v>
      </c>
      <c r="H29" s="91">
        <v>304</v>
      </c>
      <c r="I29" s="91"/>
      <c r="J29" s="91" t="s">
        <v>896</v>
      </c>
      <c r="K29" s="91"/>
      <c r="L29" s="91" t="s">
        <v>897</v>
      </c>
      <c r="M29" s="91"/>
      <c r="N29" s="91" t="s">
        <v>889</v>
      </c>
      <c r="O29" s="91" t="s">
        <v>1053</v>
      </c>
      <c r="P29" s="91">
        <v>1</v>
      </c>
      <c r="Q29" s="91">
        <v>1</v>
      </c>
      <c r="R29" s="91"/>
      <c r="S29" s="91"/>
      <c r="T29" s="91"/>
      <c r="U29" s="91"/>
      <c r="V29" s="91"/>
      <c r="W29" s="91"/>
    </row>
    <row r="30" spans="1:23" ht="15.95" customHeight="1" x14ac:dyDescent="0.15">
      <c r="A30" s="93" t="s">
        <v>974</v>
      </c>
      <c r="B30" s="93" t="s">
        <v>1016</v>
      </c>
      <c r="C30" s="93" t="s">
        <v>945</v>
      </c>
      <c r="D30" s="100" t="s">
        <v>1017</v>
      </c>
      <c r="E30" s="91" t="s">
        <v>947</v>
      </c>
      <c r="F30" s="91"/>
      <c r="G30" s="91">
        <v>1</v>
      </c>
      <c r="H30" s="91">
        <v>304</v>
      </c>
      <c r="I30" s="91"/>
      <c r="J30" s="91" t="s">
        <v>896</v>
      </c>
      <c r="K30" s="91"/>
      <c r="L30" s="91" t="s">
        <v>897</v>
      </c>
      <c r="M30" s="91"/>
      <c r="N30" s="91" t="s">
        <v>889</v>
      </c>
      <c r="O30" s="91" t="s">
        <v>1054</v>
      </c>
      <c r="P30" s="91">
        <v>1</v>
      </c>
      <c r="Q30" s="91">
        <v>1</v>
      </c>
      <c r="R30" s="91"/>
      <c r="S30" s="91"/>
      <c r="T30" s="91"/>
      <c r="U30" s="91"/>
      <c r="V30" s="91"/>
      <c r="W30" s="91"/>
    </row>
    <row r="31" spans="1:23" ht="15.95" customHeight="1" x14ac:dyDescent="0.15">
      <c r="A31" s="93" t="s">
        <v>975</v>
      </c>
      <c r="B31" s="93" t="s">
        <v>962</v>
      </c>
      <c r="C31" s="93" t="s">
        <v>891</v>
      </c>
      <c r="D31" s="100" t="s">
        <v>1018</v>
      </c>
      <c r="E31" s="91" t="s">
        <v>1019</v>
      </c>
      <c r="F31" s="91"/>
      <c r="G31" s="91">
        <v>1</v>
      </c>
      <c r="H31" s="91" t="s">
        <v>926</v>
      </c>
      <c r="I31" s="91" t="s">
        <v>895</v>
      </c>
      <c r="J31" s="91" t="s">
        <v>927</v>
      </c>
      <c r="K31" s="91"/>
      <c r="L31" s="91" t="s">
        <v>897</v>
      </c>
      <c r="M31" s="91"/>
      <c r="N31" s="91" t="s">
        <v>889</v>
      </c>
      <c r="O31" s="91" t="s">
        <v>1055</v>
      </c>
      <c r="P31" s="91">
        <v>1</v>
      </c>
      <c r="Q31" s="91">
        <v>1</v>
      </c>
      <c r="R31" s="91"/>
      <c r="S31" s="91"/>
      <c r="T31" s="91"/>
      <c r="U31" s="91"/>
      <c r="V31" s="91"/>
      <c r="W31" s="91"/>
    </row>
    <row r="32" spans="1:23" ht="15.95" customHeight="1" x14ac:dyDescent="0.15">
      <c r="A32" s="93" t="s">
        <v>976</v>
      </c>
      <c r="B32" s="93" t="s">
        <v>1020</v>
      </c>
      <c r="C32" s="93" t="s">
        <v>891</v>
      </c>
      <c r="D32" s="100" t="s">
        <v>1021</v>
      </c>
      <c r="E32" s="91" t="s">
        <v>964</v>
      </c>
      <c r="F32" s="91"/>
      <c r="G32" s="91">
        <v>1</v>
      </c>
      <c r="H32" s="91" t="s">
        <v>965</v>
      </c>
      <c r="I32" s="91">
        <v>0</v>
      </c>
      <c r="J32" s="91" t="s">
        <v>896</v>
      </c>
      <c r="K32" s="91"/>
      <c r="L32" s="91" t="s">
        <v>897</v>
      </c>
      <c r="M32" s="91"/>
      <c r="N32" s="91" t="s">
        <v>889</v>
      </c>
      <c r="O32" s="91" t="s">
        <v>1056</v>
      </c>
      <c r="P32" s="91">
        <v>1</v>
      </c>
      <c r="Q32" s="91">
        <v>1</v>
      </c>
      <c r="R32" s="91"/>
      <c r="S32" s="91"/>
      <c r="T32" s="91"/>
      <c r="U32" s="91"/>
      <c r="V32" s="91"/>
      <c r="W32" s="91"/>
    </row>
    <row r="33" spans="1:23" ht="15.95" customHeight="1" x14ac:dyDescent="0.15">
      <c r="A33" s="93"/>
      <c r="B33" s="93"/>
      <c r="C33" s="93"/>
      <c r="D33" s="100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</row>
    <row r="34" spans="1:23" ht="15.95" customHeight="1" x14ac:dyDescent="0.15">
      <c r="A34" s="93"/>
      <c r="B34" s="93"/>
      <c r="C34" s="93"/>
      <c r="D34" s="100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</row>
    <row r="35" spans="1:23" ht="15.95" customHeight="1" x14ac:dyDescent="0.15">
      <c r="A35" s="93"/>
      <c r="B35" s="93"/>
      <c r="C35" s="93"/>
      <c r="D35" s="100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</row>
    <row r="36" spans="1:23" ht="15.95" customHeight="1" x14ac:dyDescent="0.15">
      <c r="A36" s="93"/>
      <c r="B36" s="93"/>
      <c r="C36" s="93"/>
      <c r="D36" s="100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</row>
    <row r="37" spans="1:23" ht="15.95" customHeight="1" x14ac:dyDescent="0.15">
      <c r="A37" s="93"/>
      <c r="B37" s="93"/>
      <c r="C37" s="93"/>
      <c r="D37" s="100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</row>
    <row r="38" spans="1:23" ht="15.95" customHeight="1" x14ac:dyDescent="0.15">
      <c r="A38" s="93"/>
      <c r="B38" s="93"/>
      <c r="C38" s="93"/>
      <c r="D38" s="100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</row>
    <row r="39" spans="1:23" ht="15.95" customHeight="1" x14ac:dyDescent="0.15">
      <c r="A39" s="93"/>
      <c r="B39" s="93"/>
      <c r="C39" s="93"/>
      <c r="D39" s="100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</row>
    <row r="40" spans="1:23" ht="15.95" customHeight="1" x14ac:dyDescent="0.15">
      <c r="A40" s="93"/>
      <c r="B40" s="93"/>
      <c r="C40" s="93"/>
      <c r="D40" s="100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</row>
    <row r="41" spans="1:23" ht="15.95" customHeight="1" x14ac:dyDescent="0.15">
      <c r="A41" s="93"/>
      <c r="B41" s="93"/>
      <c r="C41" s="93"/>
      <c r="D41" s="100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</row>
    <row r="42" spans="1:23" ht="15.95" customHeight="1" x14ac:dyDescent="0.15">
      <c r="A42" s="93"/>
      <c r="B42" s="93"/>
      <c r="C42" s="93"/>
      <c r="D42" s="100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</row>
    <row r="43" spans="1:23" ht="15.95" customHeight="1" x14ac:dyDescent="0.15">
      <c r="A43" s="93"/>
      <c r="B43" s="93"/>
      <c r="C43" s="93"/>
      <c r="D43" s="100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</row>
    <row r="44" spans="1:23" ht="15.95" customHeight="1" x14ac:dyDescent="0.15">
      <c r="A44" s="93"/>
      <c r="B44" s="93"/>
      <c r="C44" s="93"/>
      <c r="D44" s="100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</row>
    <row r="45" spans="1:23" ht="15.95" customHeight="1" x14ac:dyDescent="0.15">
      <c r="A45" s="93"/>
      <c r="B45" s="93"/>
      <c r="C45" s="93"/>
      <c r="D45" s="100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</row>
    <row r="46" spans="1:23" ht="15.95" customHeight="1" x14ac:dyDescent="0.15">
      <c r="A46" s="93"/>
      <c r="B46" s="93"/>
      <c r="C46" s="93"/>
      <c r="D46" s="100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</row>
    <row r="47" spans="1:23" ht="15.95" customHeight="1" x14ac:dyDescent="0.15">
      <c r="A47" s="93"/>
      <c r="B47" s="93"/>
      <c r="C47" s="93"/>
      <c r="D47" s="100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</row>
    <row r="48" spans="1:23" ht="15.95" customHeight="1" x14ac:dyDescent="0.15">
      <c r="A48" s="93"/>
      <c r="B48" s="93"/>
      <c r="C48" s="93"/>
      <c r="D48" s="100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</row>
    <row r="49" spans="1:23" ht="15.95" customHeight="1" x14ac:dyDescent="0.15">
      <c r="A49" s="93"/>
      <c r="B49" s="93"/>
      <c r="C49" s="93"/>
      <c r="D49" s="100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</row>
    <row r="50" spans="1:23" ht="15.95" customHeight="1" x14ac:dyDescent="0.15">
      <c r="A50" s="93"/>
      <c r="B50" s="93"/>
      <c r="C50" s="93"/>
      <c r="D50" s="100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</row>
    <row r="51" spans="1:23" ht="15.95" customHeight="1" x14ac:dyDescent="0.15">
      <c r="A51" s="93"/>
      <c r="B51" s="93"/>
      <c r="C51" s="93"/>
      <c r="D51" s="100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</row>
    <row r="52" spans="1:23" ht="15.95" customHeight="1" x14ac:dyDescent="0.15">
      <c r="A52" s="93"/>
      <c r="B52" s="93"/>
      <c r="C52" s="93"/>
      <c r="D52" s="100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</row>
    <row r="53" spans="1:23" ht="15.95" customHeight="1" x14ac:dyDescent="0.15">
      <c r="A53" s="93"/>
      <c r="B53" s="93"/>
      <c r="C53" s="93"/>
      <c r="D53" s="100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</row>
    <row r="54" spans="1:23" ht="15.95" customHeight="1" x14ac:dyDescent="0.15">
      <c r="A54" s="93"/>
      <c r="B54" s="93"/>
      <c r="C54" s="93"/>
      <c r="D54" s="100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</row>
    <row r="55" spans="1:23" ht="15.95" customHeight="1" x14ac:dyDescent="0.15">
      <c r="A55" s="93"/>
      <c r="B55" s="93"/>
      <c r="C55" s="93"/>
      <c r="D55" s="100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</row>
    <row r="56" spans="1:23" ht="15.95" customHeight="1" x14ac:dyDescent="0.15">
      <c r="A56" s="93"/>
      <c r="B56" s="93"/>
      <c r="C56" s="93"/>
      <c r="D56" s="100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</row>
    <row r="57" spans="1:23" ht="15.95" customHeight="1" x14ac:dyDescent="0.15">
      <c r="A57" s="93"/>
      <c r="B57" s="93"/>
      <c r="C57" s="93"/>
      <c r="D57" s="100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</row>
    <row r="58" spans="1:23" ht="15.95" customHeight="1" x14ac:dyDescent="0.15">
      <c r="A58" s="93"/>
      <c r="B58" s="93"/>
      <c r="C58" s="93"/>
      <c r="D58" s="100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</row>
    <row r="59" spans="1:23" ht="15.95" customHeight="1" x14ac:dyDescent="0.15">
      <c r="A59" s="93"/>
      <c r="B59" s="93"/>
      <c r="C59" s="93"/>
      <c r="D59" s="100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</row>
    <row r="60" spans="1:23" ht="15.95" customHeight="1" x14ac:dyDescent="0.15">
      <c r="A60" s="93"/>
      <c r="B60" s="93"/>
      <c r="C60" s="93"/>
      <c r="D60" s="100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</row>
    <row r="61" spans="1:23" ht="15.95" customHeight="1" x14ac:dyDescent="0.15">
      <c r="A61" s="93"/>
      <c r="B61" s="93"/>
      <c r="C61" s="93"/>
      <c r="D61" s="100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</row>
    <row r="62" spans="1:23" ht="15.95" customHeight="1" x14ac:dyDescent="0.15">
      <c r="A62" s="93"/>
      <c r="B62" s="93"/>
      <c r="C62" s="93"/>
      <c r="D62" s="100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</row>
    <row r="63" spans="1:23" ht="15.95" customHeight="1" x14ac:dyDescent="0.15">
      <c r="A63" s="93"/>
      <c r="B63" s="93"/>
      <c r="C63" s="93"/>
      <c r="D63" s="100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</row>
    <row r="64" spans="1:23" ht="15.95" customHeight="1" x14ac:dyDescent="0.15">
      <c r="A64" s="93"/>
      <c r="B64" s="93"/>
      <c r="C64" s="93"/>
      <c r="D64" s="100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</row>
    <row r="65" spans="1:23" ht="15.95" customHeight="1" x14ac:dyDescent="0.15">
      <c r="A65" s="93"/>
      <c r="B65" s="93"/>
      <c r="C65" s="93"/>
      <c r="D65" s="100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</row>
    <row r="66" spans="1:23" ht="15.95" customHeight="1" x14ac:dyDescent="0.15">
      <c r="A66" s="93"/>
      <c r="B66" s="93"/>
      <c r="C66" s="93"/>
      <c r="D66" s="100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</row>
    <row r="67" spans="1:23" ht="15.95" customHeight="1" x14ac:dyDescent="0.15">
      <c r="A67" s="93"/>
      <c r="B67" s="93"/>
      <c r="C67" s="93"/>
      <c r="D67" s="100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</row>
    <row r="68" spans="1:23" ht="15.95" customHeight="1" x14ac:dyDescent="0.15">
      <c r="A68" s="93"/>
      <c r="B68" s="93"/>
      <c r="C68" s="93"/>
      <c r="D68" s="100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</row>
    <row r="69" spans="1:23" ht="15.95" customHeight="1" x14ac:dyDescent="0.15">
      <c r="A69" s="93"/>
      <c r="B69" s="93"/>
      <c r="C69" s="93"/>
      <c r="D69" s="100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</row>
    <row r="70" spans="1:23" ht="15.95" customHeight="1" x14ac:dyDescent="0.15">
      <c r="A70" s="93"/>
      <c r="B70" s="93"/>
      <c r="C70" s="93"/>
      <c r="D70" s="100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</row>
    <row r="71" spans="1:23" ht="15.95" customHeight="1" x14ac:dyDescent="0.15">
      <c r="A71" s="93"/>
      <c r="B71" s="93"/>
      <c r="C71" s="93"/>
      <c r="D71" s="100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</row>
    <row r="72" spans="1:23" ht="15.95" customHeight="1" x14ac:dyDescent="0.15">
      <c r="A72" s="93"/>
      <c r="B72" s="93"/>
      <c r="C72" s="93"/>
      <c r="D72" s="100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</row>
    <row r="73" spans="1:23" ht="15.95" customHeight="1" x14ac:dyDescent="0.15">
      <c r="A73" s="93"/>
      <c r="B73" s="93"/>
      <c r="C73" s="93"/>
      <c r="D73" s="100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</row>
    <row r="74" spans="1:23" ht="15.95" customHeight="1" x14ac:dyDescent="0.15">
      <c r="A74" s="93"/>
      <c r="B74" s="93"/>
      <c r="C74" s="93"/>
      <c r="D74" s="100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</row>
    <row r="75" spans="1:23" ht="15.95" customHeight="1" x14ac:dyDescent="0.15">
      <c r="A75" s="93"/>
      <c r="B75" s="93"/>
      <c r="C75" s="93"/>
      <c r="D75" s="100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</row>
    <row r="76" spans="1:23" ht="15.95" customHeight="1" x14ac:dyDescent="0.15">
      <c r="A76" s="93"/>
      <c r="B76" s="93"/>
      <c r="C76" s="93"/>
      <c r="D76" s="100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</row>
    <row r="77" spans="1:23" ht="15.95" customHeight="1" x14ac:dyDescent="0.15">
      <c r="A77" s="93"/>
      <c r="B77" s="93"/>
      <c r="C77" s="93"/>
      <c r="D77" s="100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</row>
    <row r="78" spans="1:23" ht="15.95" customHeight="1" x14ac:dyDescent="0.15">
      <c r="A78" s="93"/>
      <c r="B78" s="93"/>
      <c r="C78" s="93"/>
      <c r="D78" s="100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</row>
    <row r="79" spans="1:23" ht="15.95" customHeight="1" x14ac:dyDescent="0.15">
      <c r="A79" s="93"/>
      <c r="B79" s="93"/>
      <c r="C79" s="93"/>
      <c r="D79" s="100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</row>
    <row r="80" spans="1:23" ht="15.95" customHeight="1" x14ac:dyDescent="0.15">
      <c r="A80" s="93"/>
      <c r="B80" s="93"/>
      <c r="C80" s="93"/>
      <c r="D80" s="100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</row>
    <row r="81" spans="1:23" ht="15.95" customHeight="1" x14ac:dyDescent="0.15">
      <c r="A81" s="93"/>
      <c r="B81" s="93"/>
      <c r="C81" s="93"/>
      <c r="D81" s="100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</row>
    <row r="82" spans="1:23" ht="15.95" customHeight="1" x14ac:dyDescent="0.15">
      <c r="A82" s="93"/>
      <c r="B82" s="93"/>
      <c r="C82" s="93"/>
      <c r="D82" s="100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</row>
    <row r="83" spans="1:23" ht="15.95" customHeight="1" x14ac:dyDescent="0.15">
      <c r="A83" s="93"/>
      <c r="B83" s="93"/>
      <c r="C83" s="93"/>
      <c r="D83" s="100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</row>
    <row r="84" spans="1:23" ht="15.95" customHeight="1" x14ac:dyDescent="0.15">
      <c r="A84" s="93"/>
      <c r="B84" s="93"/>
      <c r="C84" s="93"/>
      <c r="D84" s="100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</row>
    <row r="85" spans="1:23" ht="15.95" customHeight="1" x14ac:dyDescent="0.15">
      <c r="A85" s="93"/>
      <c r="B85" s="93"/>
      <c r="C85" s="93"/>
      <c r="D85" s="100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</row>
    <row r="86" spans="1:23" ht="15.95" customHeight="1" x14ac:dyDescent="0.15">
      <c r="A86" s="93"/>
      <c r="B86" s="93"/>
      <c r="C86" s="93"/>
      <c r="D86" s="100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</row>
    <row r="87" spans="1:23" ht="15.95" customHeight="1" x14ac:dyDescent="0.15">
      <c r="A87" s="93"/>
      <c r="B87" s="93"/>
      <c r="C87" s="93"/>
      <c r="D87" s="100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</row>
    <row r="88" spans="1:23" ht="15.95" customHeight="1" x14ac:dyDescent="0.15">
      <c r="A88" s="93"/>
      <c r="B88" s="93"/>
      <c r="C88" s="93"/>
      <c r="D88" s="100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</row>
    <row r="89" spans="1:23" ht="15.95" customHeight="1" x14ac:dyDescent="0.15">
      <c r="A89" s="93"/>
      <c r="B89" s="93"/>
      <c r="C89" s="93"/>
      <c r="D89" s="100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</row>
    <row r="90" spans="1:23" ht="15.95" customHeight="1" x14ac:dyDescent="0.15">
      <c r="A90" s="93"/>
      <c r="B90" s="93"/>
      <c r="C90" s="93"/>
      <c r="D90" s="100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</row>
    <row r="91" spans="1:23" ht="15.95" customHeight="1" x14ac:dyDescent="0.15">
      <c r="A91" s="93"/>
      <c r="B91" s="93"/>
      <c r="C91" s="93"/>
      <c r="D91" s="100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</row>
    <row r="92" spans="1:23" ht="15.95" customHeight="1" x14ac:dyDescent="0.15">
      <c r="A92" s="93"/>
      <c r="B92" s="93"/>
      <c r="C92" s="93"/>
      <c r="D92" s="100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</row>
    <row r="93" spans="1:23" ht="15.95" customHeight="1" x14ac:dyDescent="0.15">
      <c r="A93" s="93"/>
      <c r="B93" s="93"/>
      <c r="C93" s="93"/>
      <c r="D93" s="100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</row>
    <row r="94" spans="1:23" ht="15.95" customHeight="1" x14ac:dyDescent="0.15">
      <c r="A94" s="93"/>
      <c r="B94" s="93"/>
      <c r="C94" s="93"/>
      <c r="D94" s="100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</row>
    <row r="95" spans="1:23" ht="15.95" customHeight="1" x14ac:dyDescent="0.15">
      <c r="A95" s="93"/>
      <c r="B95" s="93"/>
      <c r="C95" s="93"/>
      <c r="D95" s="100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</row>
    <row r="96" spans="1:23" ht="15.95" customHeight="1" x14ac:dyDescent="0.15">
      <c r="A96" s="93"/>
      <c r="B96" s="93"/>
      <c r="C96" s="93"/>
      <c r="D96" s="100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</row>
    <row r="97" spans="1:23" ht="15.95" customHeight="1" x14ac:dyDescent="0.15">
      <c r="A97" s="93"/>
      <c r="B97" s="93"/>
      <c r="C97" s="93"/>
      <c r="D97" s="100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</row>
    <row r="98" spans="1:23" ht="15.95" customHeight="1" x14ac:dyDescent="0.15">
      <c r="A98" s="93"/>
      <c r="B98" s="93"/>
      <c r="C98" s="93"/>
      <c r="D98" s="100"/>
      <c r="E98" s="91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</row>
    <row r="99" spans="1:23" ht="15.95" customHeight="1" x14ac:dyDescent="0.15">
      <c r="A99" s="93"/>
      <c r="B99" s="93"/>
      <c r="C99" s="93"/>
      <c r="D99" s="100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  <c r="V99" s="91"/>
      <c r="W99" s="91"/>
    </row>
    <row r="100" spans="1:23" ht="15.95" customHeight="1" x14ac:dyDescent="0.15">
      <c r="A100" s="93"/>
      <c r="B100" s="93"/>
      <c r="C100" s="93"/>
      <c r="D100" s="100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  <c r="U100" s="91"/>
      <c r="V100" s="91"/>
      <c r="W100" s="91"/>
    </row>
    <row r="101" spans="1:23" ht="15.95" customHeight="1" x14ac:dyDescent="0.15">
      <c r="A101" s="93"/>
      <c r="B101" s="93"/>
      <c r="C101" s="93"/>
      <c r="D101" s="100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/>
      <c r="S101" s="91"/>
      <c r="T101" s="91"/>
      <c r="U101" s="91"/>
      <c r="V101" s="91"/>
      <c r="W101" s="91"/>
    </row>
    <row r="102" spans="1:23" ht="15.95" customHeight="1" x14ac:dyDescent="0.15">
      <c r="A102" s="93"/>
      <c r="B102" s="93"/>
      <c r="C102" s="93"/>
      <c r="D102" s="100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/>
      <c r="S102" s="91"/>
      <c r="T102" s="91"/>
      <c r="U102" s="91"/>
      <c r="V102" s="91"/>
      <c r="W102" s="91"/>
    </row>
    <row r="103" spans="1:23" ht="15.95" customHeight="1" x14ac:dyDescent="0.15">
      <c r="A103" s="93"/>
      <c r="B103" s="93"/>
      <c r="C103" s="93"/>
      <c r="D103" s="100"/>
      <c r="E103" s="91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  <c r="V103" s="91"/>
      <c r="W103" s="91"/>
    </row>
    <row r="104" spans="1:23" ht="15.95" customHeight="1" x14ac:dyDescent="0.15">
      <c r="A104" s="93"/>
      <c r="B104" s="93"/>
      <c r="C104" s="93"/>
      <c r="D104" s="100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</row>
    <row r="105" spans="1:23" ht="15.95" customHeight="1" x14ac:dyDescent="0.15">
      <c r="A105" s="93"/>
      <c r="B105" s="93"/>
      <c r="C105" s="93"/>
      <c r="D105" s="100"/>
      <c r="E105" s="91"/>
      <c r="F105" s="91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</row>
    <row r="106" spans="1:23" ht="15.95" customHeight="1" x14ac:dyDescent="0.15">
      <c r="A106" s="93"/>
      <c r="B106" s="93"/>
      <c r="C106" s="93"/>
      <c r="D106" s="100"/>
      <c r="E106" s="91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91"/>
      <c r="T106" s="91"/>
      <c r="U106" s="91"/>
      <c r="V106" s="91"/>
      <c r="W106" s="91"/>
    </row>
    <row r="107" spans="1:23" ht="15.95" customHeight="1" x14ac:dyDescent="0.15">
      <c r="A107" s="93"/>
      <c r="B107" s="93"/>
      <c r="C107" s="93"/>
      <c r="D107" s="100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/>
      <c r="S107" s="91"/>
      <c r="T107" s="91"/>
      <c r="U107" s="91"/>
      <c r="V107" s="91"/>
      <c r="W107" s="91"/>
    </row>
    <row r="108" spans="1:23" ht="15.95" customHeight="1" x14ac:dyDescent="0.15">
      <c r="A108" s="93"/>
      <c r="B108" s="93"/>
      <c r="C108" s="93"/>
      <c r="D108" s="100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</row>
    <row r="109" spans="1:23" ht="15.95" customHeight="1" x14ac:dyDescent="0.15">
      <c r="A109" s="93"/>
      <c r="B109" s="93"/>
      <c r="C109" s="93"/>
      <c r="D109" s="100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</row>
    <row r="110" spans="1:23" ht="15.95" customHeight="1" x14ac:dyDescent="0.15">
      <c r="A110" s="93"/>
      <c r="B110" s="93"/>
      <c r="C110" s="93"/>
      <c r="D110" s="100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</row>
    <row r="111" spans="1:23" ht="15.95" customHeight="1" x14ac:dyDescent="0.15">
      <c r="A111" s="93"/>
      <c r="B111" s="93"/>
      <c r="C111" s="93"/>
      <c r="D111" s="100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</row>
    <row r="112" spans="1:23" ht="15.95" customHeight="1" x14ac:dyDescent="0.15">
      <c r="A112" s="93"/>
      <c r="B112" s="93"/>
      <c r="C112" s="93"/>
      <c r="D112" s="100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</row>
    <row r="113" spans="1:23" ht="15.95" customHeight="1" x14ac:dyDescent="0.15">
      <c r="A113" s="93"/>
      <c r="B113" s="93"/>
      <c r="C113" s="93"/>
      <c r="D113" s="100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1"/>
      <c r="S113" s="91"/>
      <c r="T113" s="91"/>
      <c r="U113" s="91"/>
      <c r="V113" s="91"/>
      <c r="W113" s="91"/>
    </row>
    <row r="114" spans="1:23" ht="15.95" customHeight="1" x14ac:dyDescent="0.15">
      <c r="A114" s="93"/>
      <c r="B114" s="93"/>
      <c r="C114" s="93"/>
      <c r="D114" s="100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</row>
    <row r="115" spans="1:23" ht="15.95" customHeight="1" x14ac:dyDescent="0.15">
      <c r="A115" s="93"/>
      <c r="B115" s="93"/>
      <c r="C115" s="93"/>
      <c r="D115" s="100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</row>
    <row r="116" spans="1:23" ht="15.95" customHeight="1" x14ac:dyDescent="0.15">
      <c r="A116" s="93"/>
      <c r="B116" s="93"/>
      <c r="C116" s="93"/>
      <c r="D116" s="100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</row>
    <row r="117" spans="1:23" ht="15.95" customHeight="1" x14ac:dyDescent="0.15">
      <c r="A117" s="93"/>
      <c r="B117" s="93"/>
      <c r="C117" s="93"/>
      <c r="D117" s="100"/>
      <c r="E117" s="91"/>
      <c r="F117" s="91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1"/>
      <c r="S117" s="91"/>
      <c r="T117" s="91"/>
      <c r="U117" s="91"/>
      <c r="V117" s="91"/>
      <c r="W117" s="91"/>
    </row>
    <row r="118" spans="1:23" ht="15.95" customHeight="1" x14ac:dyDescent="0.15">
      <c r="A118" s="93"/>
      <c r="B118" s="93"/>
      <c r="C118" s="93"/>
      <c r="D118" s="100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</row>
    <row r="119" spans="1:23" ht="15.95" customHeight="1" x14ac:dyDescent="0.15">
      <c r="A119" s="93"/>
      <c r="B119" s="93"/>
      <c r="C119" s="93"/>
      <c r="D119" s="100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</row>
    <row r="120" spans="1:23" ht="15.95" customHeight="1" x14ac:dyDescent="0.15">
      <c r="A120" s="93"/>
      <c r="B120" s="93"/>
      <c r="C120" s="93"/>
      <c r="D120" s="100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</row>
    <row r="121" spans="1:23" ht="15.95" customHeight="1" x14ac:dyDescent="0.15">
      <c r="A121" s="93"/>
      <c r="B121" s="93"/>
      <c r="C121" s="93"/>
      <c r="D121" s="100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</row>
    <row r="122" spans="1:23" ht="15.95" customHeight="1" x14ac:dyDescent="0.15">
      <c r="A122" s="93"/>
      <c r="B122" s="93"/>
      <c r="C122" s="93"/>
      <c r="D122" s="100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</row>
    <row r="123" spans="1:23" ht="15.95" customHeight="1" x14ac:dyDescent="0.15">
      <c r="A123" s="93"/>
      <c r="B123" s="93"/>
      <c r="C123" s="93"/>
      <c r="D123" s="100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</row>
    <row r="124" spans="1:23" ht="15.95" customHeight="1" x14ac:dyDescent="0.15">
      <c r="A124" s="93"/>
      <c r="B124" s="93"/>
      <c r="C124" s="93"/>
      <c r="D124" s="100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  <c r="U124" s="91"/>
      <c r="V124" s="91"/>
      <c r="W124" s="91"/>
    </row>
    <row r="125" spans="1:23" ht="15.95" customHeight="1" x14ac:dyDescent="0.15">
      <c r="A125" s="93"/>
      <c r="B125" s="93"/>
      <c r="C125" s="93"/>
      <c r="D125" s="100"/>
      <c r="E125" s="91"/>
      <c r="F125" s="91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1"/>
      <c r="S125" s="91"/>
      <c r="T125" s="91"/>
      <c r="U125" s="91"/>
      <c r="V125" s="91"/>
      <c r="W125" s="91"/>
    </row>
    <row r="126" spans="1:23" ht="15.95" customHeight="1" x14ac:dyDescent="0.15">
      <c r="A126" s="93"/>
      <c r="B126" s="93"/>
      <c r="C126" s="93"/>
      <c r="D126" s="100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/>
      <c r="W126" s="91"/>
    </row>
    <row r="127" spans="1:23" ht="15.95" customHeight="1" x14ac:dyDescent="0.15">
      <c r="A127" s="93"/>
      <c r="B127" s="93"/>
      <c r="C127" s="93"/>
      <c r="D127" s="100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1"/>
      <c r="S127" s="91"/>
      <c r="T127" s="91"/>
      <c r="U127" s="91"/>
      <c r="V127" s="91"/>
      <c r="W127" s="91"/>
    </row>
    <row r="128" spans="1:23" ht="15.95" customHeight="1" x14ac:dyDescent="0.15">
      <c r="A128" s="93"/>
      <c r="B128" s="93"/>
      <c r="C128" s="93"/>
      <c r="D128" s="100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1"/>
      <c r="S128" s="91"/>
      <c r="T128" s="91"/>
      <c r="U128" s="91"/>
      <c r="V128" s="91"/>
      <c r="W128" s="91"/>
    </row>
    <row r="129" spans="1:23" ht="15.95" customHeight="1" x14ac:dyDescent="0.15">
      <c r="A129" s="93"/>
      <c r="B129" s="93"/>
      <c r="C129" s="93"/>
      <c r="D129" s="100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  <c r="U129" s="91"/>
      <c r="V129" s="91"/>
      <c r="W129" s="91"/>
    </row>
    <row r="130" spans="1:23" ht="15.95" customHeight="1" x14ac:dyDescent="0.15">
      <c r="A130" s="93"/>
      <c r="B130" s="93"/>
      <c r="C130" s="93"/>
      <c r="D130" s="100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</row>
    <row r="131" spans="1:23" ht="15.95" customHeight="1" x14ac:dyDescent="0.15">
      <c r="A131" s="93"/>
      <c r="B131" s="93"/>
      <c r="C131" s="93"/>
      <c r="D131" s="100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1"/>
      <c r="S131" s="91"/>
      <c r="T131" s="91"/>
      <c r="U131" s="91"/>
      <c r="V131" s="91"/>
      <c r="W131" s="91"/>
    </row>
    <row r="132" spans="1:23" ht="15.95" customHeight="1" x14ac:dyDescent="0.15">
      <c r="A132" s="93"/>
      <c r="B132" s="93"/>
      <c r="C132" s="93"/>
      <c r="D132" s="100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1"/>
      <c r="S132" s="91"/>
      <c r="T132" s="91"/>
      <c r="U132" s="91"/>
      <c r="V132" s="91"/>
      <c r="W132" s="91"/>
    </row>
    <row r="133" spans="1:23" ht="15.95" customHeight="1" x14ac:dyDescent="0.15">
      <c r="A133" s="93"/>
      <c r="B133" s="93"/>
      <c r="C133" s="93"/>
      <c r="D133" s="100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1"/>
      <c r="S133" s="91"/>
      <c r="T133" s="91"/>
      <c r="U133" s="91"/>
      <c r="V133" s="91"/>
      <c r="W133" s="91"/>
    </row>
    <row r="134" spans="1:23" ht="15.95" customHeight="1" x14ac:dyDescent="0.15">
      <c r="A134" s="93"/>
      <c r="B134" s="93"/>
      <c r="C134" s="93"/>
      <c r="D134" s="100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/>
      <c r="V134" s="91"/>
      <c r="W134" s="91"/>
    </row>
    <row r="135" spans="1:23" ht="15.95" customHeight="1" x14ac:dyDescent="0.15">
      <c r="A135" s="93"/>
      <c r="B135" s="93"/>
      <c r="C135" s="93"/>
      <c r="D135" s="100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</row>
    <row r="136" spans="1:23" ht="15.95" customHeight="1" x14ac:dyDescent="0.15">
      <c r="A136" s="93"/>
      <c r="B136" s="93"/>
      <c r="C136" s="93"/>
      <c r="D136" s="100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</row>
    <row r="137" spans="1:23" ht="15.95" customHeight="1" x14ac:dyDescent="0.15">
      <c r="A137" s="93"/>
      <c r="B137" s="93"/>
      <c r="C137" s="93"/>
      <c r="D137" s="100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1"/>
      <c r="S137" s="91"/>
      <c r="T137" s="91"/>
      <c r="U137" s="91"/>
      <c r="V137" s="91"/>
      <c r="W137" s="91"/>
    </row>
    <row r="138" spans="1:23" ht="15.95" customHeight="1" x14ac:dyDescent="0.15">
      <c r="A138" s="93"/>
      <c r="B138" s="93"/>
      <c r="C138" s="93"/>
      <c r="D138" s="100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1"/>
      <c r="S138" s="91"/>
      <c r="T138" s="91"/>
      <c r="U138" s="91"/>
      <c r="V138" s="91"/>
      <c r="W138" s="91"/>
    </row>
    <row r="139" spans="1:23" ht="15.95" customHeight="1" x14ac:dyDescent="0.15">
      <c r="A139" s="93"/>
      <c r="B139" s="93"/>
      <c r="C139" s="93"/>
      <c r="D139" s="100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1"/>
      <c r="S139" s="91"/>
      <c r="T139" s="91"/>
      <c r="U139" s="91"/>
      <c r="V139" s="91"/>
      <c r="W139" s="91"/>
    </row>
    <row r="140" spans="1:23" ht="15.95" customHeight="1" x14ac:dyDescent="0.15">
      <c r="A140" s="93"/>
      <c r="B140" s="93"/>
      <c r="C140" s="93"/>
      <c r="D140" s="100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1"/>
      <c r="S140" s="91"/>
      <c r="T140" s="91"/>
      <c r="U140" s="91"/>
      <c r="V140" s="91"/>
      <c r="W140" s="91"/>
    </row>
    <row r="141" spans="1:23" ht="15.95" customHeight="1" x14ac:dyDescent="0.15">
      <c r="A141" s="93"/>
      <c r="B141" s="93"/>
      <c r="C141" s="93"/>
      <c r="D141" s="100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1"/>
      <c r="S141" s="91"/>
      <c r="T141" s="91"/>
      <c r="U141" s="91"/>
      <c r="V141" s="91"/>
      <c r="W141" s="91"/>
    </row>
    <row r="142" spans="1:23" ht="15.95" customHeight="1" x14ac:dyDescent="0.15">
      <c r="A142" s="93"/>
      <c r="B142" s="93"/>
      <c r="C142" s="93"/>
      <c r="D142" s="100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1"/>
      <c r="S142" s="91"/>
      <c r="T142" s="91"/>
      <c r="U142" s="91"/>
      <c r="V142" s="91"/>
      <c r="W142" s="91"/>
    </row>
    <row r="143" spans="1:23" ht="15.95" customHeight="1" x14ac:dyDescent="0.15">
      <c r="A143" s="93"/>
      <c r="B143" s="93"/>
      <c r="C143" s="93"/>
      <c r="D143" s="100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1"/>
      <c r="S143" s="91"/>
      <c r="T143" s="91"/>
      <c r="U143" s="91"/>
      <c r="V143" s="91"/>
      <c r="W143" s="91"/>
    </row>
    <row r="144" spans="1:23" ht="15.95" customHeight="1" x14ac:dyDescent="0.15">
      <c r="A144" s="93"/>
      <c r="B144" s="93"/>
      <c r="C144" s="93"/>
      <c r="D144" s="100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</row>
    <row r="145" spans="1:23" ht="15.95" customHeight="1" x14ac:dyDescent="0.15">
      <c r="A145" s="93"/>
      <c r="B145" s="93"/>
      <c r="C145" s="93"/>
      <c r="D145" s="100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1"/>
      <c r="S145" s="91"/>
      <c r="T145" s="91"/>
      <c r="U145" s="91"/>
      <c r="V145" s="91"/>
      <c r="W145" s="91"/>
    </row>
    <row r="146" spans="1:23" ht="15.95" customHeight="1" x14ac:dyDescent="0.15">
      <c r="A146" s="93"/>
      <c r="B146" s="93"/>
      <c r="C146" s="93"/>
      <c r="D146" s="100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1"/>
      <c r="S146" s="91"/>
      <c r="T146" s="91"/>
      <c r="U146" s="91"/>
      <c r="V146" s="91"/>
      <c r="W146" s="91"/>
    </row>
    <row r="147" spans="1:23" ht="15.95" customHeight="1" x14ac:dyDescent="0.15">
      <c r="A147" s="93"/>
      <c r="B147" s="93"/>
      <c r="C147" s="93"/>
      <c r="D147" s="100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1"/>
      <c r="S147" s="91"/>
      <c r="T147" s="91"/>
      <c r="U147" s="91"/>
      <c r="V147" s="91"/>
      <c r="W147" s="91"/>
    </row>
    <row r="148" spans="1:23" ht="15.95" customHeight="1" x14ac:dyDescent="0.15">
      <c r="A148" s="93"/>
      <c r="B148" s="93"/>
      <c r="C148" s="93"/>
      <c r="D148" s="100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1"/>
      <c r="S148" s="91"/>
      <c r="T148" s="91"/>
      <c r="U148" s="91"/>
      <c r="V148" s="91"/>
      <c r="W148" s="91"/>
    </row>
    <row r="149" spans="1:23" ht="15.95" customHeight="1" x14ac:dyDescent="0.15">
      <c r="A149" s="93"/>
      <c r="B149" s="93"/>
      <c r="C149" s="93"/>
      <c r="D149" s="100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</row>
    <row r="150" spans="1:23" ht="15.95" customHeight="1" x14ac:dyDescent="0.15">
      <c r="A150" s="93"/>
      <c r="B150" s="93"/>
      <c r="C150" s="93"/>
      <c r="D150" s="100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</row>
    <row r="151" spans="1:23" ht="15.95" customHeight="1" x14ac:dyDescent="0.15">
      <c r="A151" s="93"/>
      <c r="B151" s="93"/>
      <c r="C151" s="93"/>
      <c r="D151" s="100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</row>
    <row r="152" spans="1:23" ht="15.95" customHeight="1" x14ac:dyDescent="0.15">
      <c r="A152" s="93"/>
      <c r="B152" s="93"/>
      <c r="C152" s="93"/>
      <c r="D152" s="100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</row>
    <row r="153" spans="1:23" ht="15.95" customHeight="1" x14ac:dyDescent="0.15">
      <c r="A153" s="93"/>
      <c r="B153" s="93"/>
      <c r="C153" s="93"/>
      <c r="D153" s="100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</row>
    <row r="154" spans="1:23" ht="15.95" customHeight="1" x14ac:dyDescent="0.15">
      <c r="A154" s="93"/>
      <c r="B154" s="93"/>
      <c r="C154" s="93"/>
      <c r="D154" s="100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</row>
    <row r="155" spans="1:23" ht="15.95" customHeight="1" x14ac:dyDescent="0.15">
      <c r="A155" s="93"/>
      <c r="B155" s="93"/>
      <c r="C155" s="93"/>
      <c r="D155" s="100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</row>
    <row r="156" spans="1:23" ht="15.95" customHeight="1" x14ac:dyDescent="0.15">
      <c r="A156" s="93"/>
      <c r="B156" s="93"/>
      <c r="C156" s="93"/>
      <c r="D156" s="100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</row>
    <row r="157" spans="1:23" ht="15.95" customHeight="1" x14ac:dyDescent="0.15">
      <c r="A157" s="93"/>
      <c r="B157" s="93"/>
      <c r="C157" s="93"/>
      <c r="D157" s="100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</row>
    <row r="158" spans="1:23" ht="15.95" customHeight="1" x14ac:dyDescent="0.15">
      <c r="A158" s="93"/>
      <c r="B158" s="93"/>
      <c r="C158" s="93"/>
      <c r="D158" s="100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</row>
    <row r="159" spans="1:23" ht="15.95" customHeight="1" x14ac:dyDescent="0.15">
      <c r="A159" s="93"/>
      <c r="B159" s="93"/>
      <c r="C159" s="93"/>
      <c r="D159" s="100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</row>
    <row r="160" spans="1:23" ht="15.95" customHeight="1" x14ac:dyDescent="0.15">
      <c r="A160" s="93"/>
      <c r="B160" s="93"/>
      <c r="C160" s="93"/>
      <c r="D160" s="100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</row>
    <row r="161" spans="1:23" ht="15.95" customHeight="1" x14ac:dyDescent="0.15">
      <c r="A161" s="93"/>
      <c r="B161" s="93"/>
      <c r="C161" s="93"/>
      <c r="D161" s="100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</row>
    <row r="162" spans="1:23" ht="15.95" customHeight="1" x14ac:dyDescent="0.15">
      <c r="A162" s="93"/>
      <c r="B162" s="93"/>
      <c r="C162" s="93"/>
      <c r="D162" s="100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</row>
    <row r="163" spans="1:23" ht="15.95" customHeight="1" x14ac:dyDescent="0.15">
      <c r="A163" s="93"/>
      <c r="B163" s="93"/>
      <c r="C163" s="93"/>
      <c r="D163" s="100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</row>
    <row r="164" spans="1:23" ht="15.95" customHeight="1" x14ac:dyDescent="0.15">
      <c r="A164" s="93"/>
      <c r="B164" s="93"/>
      <c r="C164" s="93"/>
      <c r="D164" s="100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</row>
    <row r="165" spans="1:23" ht="15.95" customHeight="1" x14ac:dyDescent="0.15">
      <c r="A165" s="93"/>
      <c r="B165" s="93"/>
      <c r="C165" s="93"/>
      <c r="D165" s="100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</row>
    <row r="166" spans="1:23" ht="15.95" customHeight="1" x14ac:dyDescent="0.15">
      <c r="A166" s="93"/>
      <c r="B166" s="93"/>
      <c r="C166" s="93"/>
      <c r="D166" s="100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</row>
    <row r="167" spans="1:23" ht="15.95" customHeight="1" x14ac:dyDescent="0.15">
      <c r="A167" s="93"/>
      <c r="B167" s="93"/>
      <c r="C167" s="93"/>
      <c r="D167" s="100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</row>
    <row r="168" spans="1:23" ht="15.95" customHeight="1" x14ac:dyDescent="0.15">
      <c r="A168" s="93"/>
      <c r="B168" s="93"/>
      <c r="C168" s="93"/>
      <c r="D168" s="100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</row>
    <row r="169" spans="1:23" ht="15.95" customHeight="1" x14ac:dyDescent="0.15">
      <c r="A169" s="93"/>
      <c r="B169" s="93"/>
      <c r="C169" s="93"/>
      <c r="D169" s="100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</row>
    <row r="170" spans="1:23" ht="15.95" customHeight="1" x14ac:dyDescent="0.15">
      <c r="A170" s="93"/>
      <c r="B170" s="93"/>
      <c r="C170" s="93"/>
      <c r="D170" s="100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</row>
    <row r="171" spans="1:23" ht="15.95" customHeight="1" x14ac:dyDescent="0.15">
      <c r="A171" s="93"/>
      <c r="B171" s="93"/>
      <c r="C171" s="93"/>
      <c r="D171" s="100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</row>
    <row r="172" spans="1:23" ht="15.95" customHeight="1" x14ac:dyDescent="0.15">
      <c r="A172" s="93"/>
      <c r="B172" s="93"/>
      <c r="C172" s="93"/>
      <c r="D172" s="100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</row>
    <row r="173" spans="1:23" ht="15.95" customHeight="1" x14ac:dyDescent="0.15">
      <c r="A173" s="93"/>
      <c r="B173" s="93"/>
      <c r="C173" s="93"/>
      <c r="D173" s="100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</row>
    <row r="174" spans="1:23" ht="15.95" customHeight="1" x14ac:dyDescent="0.15">
      <c r="A174" s="93"/>
      <c r="B174" s="93"/>
      <c r="C174" s="93"/>
      <c r="D174" s="100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</row>
    <row r="175" spans="1:23" ht="15.95" customHeight="1" x14ac:dyDescent="0.15">
      <c r="A175" s="93"/>
      <c r="B175" s="93"/>
      <c r="C175" s="93"/>
      <c r="D175" s="100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</row>
    <row r="176" spans="1:23" ht="15.95" customHeight="1" x14ac:dyDescent="0.15">
      <c r="A176" s="93"/>
      <c r="B176" s="93"/>
      <c r="C176" s="93"/>
      <c r="D176" s="100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</row>
    <row r="177" spans="1:23" ht="15.95" customHeight="1" x14ac:dyDescent="0.15">
      <c r="A177" s="93"/>
      <c r="B177" s="93"/>
      <c r="C177" s="93"/>
      <c r="D177" s="100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</row>
    <row r="178" spans="1:23" ht="15.95" customHeight="1" x14ac:dyDescent="0.15">
      <c r="A178" s="93"/>
      <c r="B178" s="93"/>
      <c r="C178" s="93"/>
      <c r="D178" s="100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</row>
    <row r="179" spans="1:23" ht="15.95" customHeight="1" x14ac:dyDescent="0.15">
      <c r="A179" s="93"/>
      <c r="B179" s="93"/>
      <c r="C179" s="93"/>
      <c r="D179" s="100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</row>
    <row r="180" spans="1:23" ht="15.95" customHeight="1" x14ac:dyDescent="0.15">
      <c r="A180" s="93"/>
      <c r="B180" s="93"/>
      <c r="C180" s="93"/>
      <c r="D180" s="100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</row>
    <row r="181" spans="1:23" ht="15.95" customHeight="1" x14ac:dyDescent="0.15">
      <c r="A181" s="93"/>
      <c r="B181" s="93"/>
      <c r="C181" s="93"/>
      <c r="D181" s="100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</row>
    <row r="182" spans="1:23" ht="15.95" customHeight="1" x14ac:dyDescent="0.15">
      <c r="A182" s="93"/>
      <c r="B182" s="93"/>
      <c r="C182" s="93"/>
      <c r="D182" s="100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</row>
    <row r="183" spans="1:23" ht="15.95" customHeight="1" x14ac:dyDescent="0.15">
      <c r="A183" s="93"/>
      <c r="B183" s="93"/>
      <c r="C183" s="93"/>
      <c r="D183" s="100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</row>
    <row r="184" spans="1:23" ht="15.95" customHeight="1" x14ac:dyDescent="0.15">
      <c r="A184" s="93"/>
      <c r="B184" s="93"/>
      <c r="C184" s="93"/>
      <c r="D184" s="100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</row>
    <row r="185" spans="1:23" ht="15.95" customHeight="1" x14ac:dyDescent="0.15">
      <c r="A185" s="93"/>
      <c r="B185" s="93"/>
      <c r="C185" s="93"/>
      <c r="D185" s="100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</row>
    <row r="186" spans="1:23" ht="15.95" customHeight="1" x14ac:dyDescent="0.15">
      <c r="A186" s="93"/>
      <c r="B186" s="93"/>
      <c r="C186" s="93"/>
      <c r="D186" s="100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</row>
    <row r="187" spans="1:23" ht="15.95" customHeight="1" x14ac:dyDescent="0.15">
      <c r="A187" s="93"/>
      <c r="B187" s="93"/>
      <c r="C187" s="93"/>
      <c r="D187" s="100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</row>
    <row r="188" spans="1:23" ht="15.95" customHeight="1" x14ac:dyDescent="0.15">
      <c r="A188" s="93"/>
      <c r="B188" s="93"/>
      <c r="C188" s="93"/>
      <c r="D188" s="100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</row>
    <row r="189" spans="1:23" ht="15.95" customHeight="1" x14ac:dyDescent="0.15">
      <c r="A189" s="93"/>
      <c r="B189" s="93"/>
      <c r="C189" s="93"/>
      <c r="D189" s="100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</row>
    <row r="190" spans="1:23" ht="15.95" customHeight="1" x14ac:dyDescent="0.15">
      <c r="A190" s="93"/>
      <c r="B190" s="93"/>
      <c r="C190" s="93"/>
      <c r="D190" s="100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</row>
    <row r="191" spans="1:23" ht="15.95" customHeight="1" x14ac:dyDescent="0.15">
      <c r="A191" s="93"/>
      <c r="B191" s="93"/>
      <c r="C191" s="93"/>
      <c r="D191" s="100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</row>
    <row r="192" spans="1:23" ht="15.95" customHeight="1" x14ac:dyDescent="0.15">
      <c r="A192" s="93"/>
      <c r="B192" s="93"/>
      <c r="C192" s="93"/>
      <c r="D192" s="100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</row>
    <row r="193" spans="1:23" ht="15.95" customHeight="1" x14ac:dyDescent="0.15">
      <c r="A193" s="93"/>
      <c r="B193" s="93"/>
      <c r="C193" s="93"/>
      <c r="D193" s="100"/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</row>
    <row r="194" spans="1:23" ht="15.95" customHeight="1" x14ac:dyDescent="0.15">
      <c r="A194" s="93"/>
      <c r="B194" s="93"/>
      <c r="C194" s="93"/>
      <c r="D194" s="100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</row>
    <row r="195" spans="1:23" ht="15.95" customHeight="1" x14ac:dyDescent="0.15">
      <c r="A195" s="93"/>
      <c r="B195" s="93"/>
      <c r="C195" s="93"/>
      <c r="D195" s="100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</row>
    <row r="196" spans="1:23" ht="15.95" customHeight="1" x14ac:dyDescent="0.15">
      <c r="A196" s="93"/>
      <c r="B196" s="93"/>
      <c r="C196" s="93"/>
      <c r="D196" s="100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</row>
    <row r="197" spans="1:23" ht="15.95" customHeight="1" x14ac:dyDescent="0.15">
      <c r="A197" s="93"/>
      <c r="B197" s="93"/>
      <c r="C197" s="93"/>
      <c r="D197" s="100"/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</row>
    <row r="198" spans="1:23" ht="15.95" customHeight="1" x14ac:dyDescent="0.15">
      <c r="A198" s="93"/>
      <c r="B198" s="93"/>
      <c r="C198" s="93"/>
      <c r="D198" s="100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</row>
    <row r="199" spans="1:23" ht="15.95" customHeight="1" x14ac:dyDescent="0.15">
      <c r="A199" s="93"/>
      <c r="B199" s="93"/>
      <c r="C199" s="93"/>
      <c r="D199" s="100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</row>
    <row r="200" spans="1:23" ht="15.95" customHeight="1" x14ac:dyDescent="0.15">
      <c r="A200" s="93"/>
      <c r="B200" s="93"/>
      <c r="C200" s="93"/>
      <c r="D200" s="100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</row>
    <row r="201" spans="1:23" ht="15.95" customHeight="1" x14ac:dyDescent="0.15">
      <c r="A201" s="93"/>
      <c r="B201" s="93"/>
      <c r="C201" s="93"/>
      <c r="D201" s="100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</row>
    <row r="202" spans="1:23" ht="15.95" customHeight="1" x14ac:dyDescent="0.15">
      <c r="A202" s="93"/>
      <c r="B202" s="93"/>
      <c r="C202" s="93"/>
      <c r="D202" s="100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</row>
    <row r="203" spans="1:23" ht="15.95" customHeight="1" x14ac:dyDescent="0.15">
      <c r="A203" s="93"/>
      <c r="B203" s="93"/>
      <c r="C203" s="93"/>
      <c r="D203" s="100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</row>
    <row r="204" spans="1:23" ht="15.95" customHeight="1" x14ac:dyDescent="0.15">
      <c r="A204" s="93"/>
      <c r="B204" s="93"/>
      <c r="C204" s="93"/>
      <c r="D204" s="100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</row>
    <row r="205" spans="1:23" ht="15.95" customHeight="1" x14ac:dyDescent="0.15">
      <c r="A205" s="93"/>
      <c r="B205" s="93"/>
      <c r="C205" s="93"/>
      <c r="D205" s="100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</row>
    <row r="206" spans="1:23" ht="15.95" customHeight="1" x14ac:dyDescent="0.15">
      <c r="A206" s="93"/>
      <c r="B206" s="93"/>
      <c r="C206" s="93"/>
      <c r="D206" s="100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</row>
    <row r="207" spans="1:23" ht="15.95" customHeight="1" x14ac:dyDescent="0.15">
      <c r="A207" s="93"/>
      <c r="B207" s="93"/>
      <c r="C207" s="93"/>
      <c r="D207" s="100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</row>
    <row r="208" spans="1:23" ht="15.95" customHeight="1" x14ac:dyDescent="0.15">
      <c r="A208" s="93"/>
      <c r="B208" s="93"/>
      <c r="C208" s="93"/>
      <c r="D208" s="100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</row>
    <row r="209" spans="1:23" ht="15.95" customHeight="1" x14ac:dyDescent="0.15">
      <c r="A209" s="93"/>
      <c r="B209" s="93"/>
      <c r="C209" s="93"/>
      <c r="D209" s="100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</row>
    <row r="210" spans="1:23" ht="15.95" customHeight="1" x14ac:dyDescent="0.15">
      <c r="A210" s="93"/>
      <c r="B210" s="93"/>
      <c r="C210" s="93"/>
      <c r="D210" s="100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</row>
    <row r="211" spans="1:23" ht="15.95" customHeight="1" x14ac:dyDescent="0.15">
      <c r="A211" s="93"/>
      <c r="B211" s="93"/>
      <c r="C211" s="93"/>
      <c r="D211" s="100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</row>
    <row r="212" spans="1:23" ht="15.95" customHeight="1" x14ac:dyDescent="0.15">
      <c r="A212" s="93"/>
      <c r="B212" s="93"/>
      <c r="C212" s="93"/>
      <c r="D212" s="100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</row>
    <row r="213" spans="1:23" ht="15.95" customHeight="1" x14ac:dyDescent="0.15">
      <c r="A213" s="93"/>
      <c r="B213" s="93"/>
      <c r="C213" s="93"/>
      <c r="D213" s="100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</row>
    <row r="214" spans="1:23" ht="15.95" customHeight="1" x14ac:dyDescent="0.15">
      <c r="A214" s="93"/>
      <c r="B214" s="93"/>
      <c r="C214" s="93"/>
      <c r="D214" s="100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</row>
    <row r="215" spans="1:23" ht="15.95" customHeight="1" x14ac:dyDescent="0.15">
      <c r="A215" s="93"/>
      <c r="B215" s="93"/>
      <c r="C215" s="93"/>
      <c r="D215" s="100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</row>
    <row r="216" spans="1:23" ht="15.95" customHeight="1" x14ac:dyDescent="0.15">
      <c r="A216" s="93"/>
      <c r="B216" s="93"/>
      <c r="C216" s="93"/>
      <c r="D216" s="100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</row>
    <row r="217" spans="1:23" ht="15.95" customHeight="1" x14ac:dyDescent="0.15">
      <c r="A217" s="93"/>
      <c r="B217" s="93"/>
      <c r="C217" s="93"/>
      <c r="D217" s="100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</row>
    <row r="218" spans="1:23" ht="15.95" customHeight="1" x14ac:dyDescent="0.15">
      <c r="A218" s="93"/>
      <c r="B218" s="93"/>
      <c r="C218" s="93"/>
      <c r="D218" s="100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</row>
    <row r="219" spans="1:23" ht="15.95" customHeight="1" x14ac:dyDescent="0.15">
      <c r="A219" s="93"/>
      <c r="B219" s="93"/>
      <c r="C219" s="93"/>
      <c r="D219" s="100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</row>
    <row r="220" spans="1:23" ht="15.95" customHeight="1" x14ac:dyDescent="0.15">
      <c r="A220" s="93"/>
      <c r="B220" s="93"/>
      <c r="C220" s="93"/>
      <c r="D220" s="100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</row>
    <row r="221" spans="1:23" ht="15.95" customHeight="1" x14ac:dyDescent="0.15">
      <c r="A221" s="93"/>
      <c r="B221" s="93"/>
      <c r="C221" s="93"/>
      <c r="D221" s="100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</row>
    <row r="222" spans="1:23" ht="15.95" customHeight="1" x14ac:dyDescent="0.15">
      <c r="A222" s="93"/>
      <c r="B222" s="93"/>
      <c r="C222" s="93"/>
      <c r="D222" s="100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</row>
    <row r="223" spans="1:23" ht="15.95" customHeight="1" x14ac:dyDescent="0.15">
      <c r="A223" s="93"/>
      <c r="B223" s="93"/>
      <c r="C223" s="93"/>
      <c r="D223" s="100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</row>
    <row r="224" spans="1:23" ht="15.95" customHeight="1" x14ac:dyDescent="0.15">
      <c r="A224" s="93"/>
      <c r="B224" s="93"/>
      <c r="C224" s="93"/>
      <c r="D224" s="100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</row>
    <row r="225" spans="1:23" ht="15.95" customHeight="1" x14ac:dyDescent="0.15">
      <c r="A225" s="93"/>
      <c r="B225" s="93"/>
      <c r="C225" s="93"/>
      <c r="D225" s="100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</row>
    <row r="226" spans="1:23" ht="15.95" customHeight="1" x14ac:dyDescent="0.15">
      <c r="A226" s="93"/>
      <c r="B226" s="93"/>
      <c r="C226" s="93"/>
      <c r="D226" s="100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</row>
    <row r="227" spans="1:23" ht="15.95" customHeight="1" x14ac:dyDescent="0.15">
      <c r="A227" s="93"/>
      <c r="B227" s="93"/>
      <c r="C227" s="93"/>
      <c r="D227" s="100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</row>
    <row r="228" spans="1:23" ht="15.95" customHeight="1" x14ac:dyDescent="0.15">
      <c r="A228" s="93"/>
      <c r="B228" s="93"/>
      <c r="C228" s="93"/>
      <c r="D228" s="100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</row>
    <row r="229" spans="1:23" ht="15.95" customHeight="1" x14ac:dyDescent="0.15">
      <c r="A229" s="93"/>
      <c r="B229" s="93"/>
      <c r="C229" s="93"/>
      <c r="D229" s="100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</row>
    <row r="230" spans="1:23" ht="15.95" customHeight="1" x14ac:dyDescent="0.15">
      <c r="A230" s="93"/>
      <c r="B230" s="93"/>
      <c r="C230" s="93"/>
      <c r="D230" s="100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</row>
    <row r="231" spans="1:23" ht="15.95" customHeight="1" x14ac:dyDescent="0.15">
      <c r="A231" s="93"/>
      <c r="B231" s="93"/>
      <c r="C231" s="93"/>
      <c r="D231" s="100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</row>
    <row r="232" spans="1:23" ht="15.95" customHeight="1" x14ac:dyDescent="0.15">
      <c r="A232" s="93"/>
      <c r="B232" s="93"/>
      <c r="C232" s="93"/>
      <c r="D232" s="100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</row>
    <row r="233" spans="1:23" ht="15.95" customHeight="1" x14ac:dyDescent="0.15">
      <c r="A233" s="93"/>
      <c r="B233" s="93"/>
      <c r="C233" s="93"/>
      <c r="D233" s="100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</row>
    <row r="234" spans="1:23" ht="15.95" customHeight="1" x14ac:dyDescent="0.15">
      <c r="A234" s="93"/>
      <c r="B234" s="93"/>
      <c r="C234" s="93"/>
      <c r="D234" s="100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</row>
    <row r="235" spans="1:23" ht="15.95" customHeight="1" x14ac:dyDescent="0.15">
      <c r="A235" s="93"/>
      <c r="B235" s="93"/>
      <c r="C235" s="93"/>
      <c r="D235" s="100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</row>
    <row r="236" spans="1:23" ht="15.95" customHeight="1" x14ac:dyDescent="0.15">
      <c r="A236" s="93"/>
      <c r="B236" s="93"/>
      <c r="C236" s="93"/>
      <c r="D236" s="100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</row>
    <row r="237" spans="1:23" ht="15.95" customHeight="1" x14ac:dyDescent="0.15">
      <c r="A237" s="93"/>
      <c r="B237" s="93"/>
      <c r="C237" s="93"/>
      <c r="D237" s="100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</row>
    <row r="238" spans="1:23" ht="15.95" customHeight="1" x14ac:dyDescent="0.15">
      <c r="A238" s="93"/>
      <c r="B238" s="93"/>
      <c r="C238" s="93"/>
      <c r="D238" s="100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</row>
    <row r="239" spans="1:23" ht="15.95" customHeight="1" x14ac:dyDescent="0.15">
      <c r="A239" s="93"/>
      <c r="B239" s="93"/>
      <c r="C239" s="93"/>
      <c r="D239" s="100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</row>
    <row r="240" spans="1:23" ht="15.95" customHeight="1" x14ac:dyDescent="0.15">
      <c r="A240" s="93"/>
      <c r="B240" s="93"/>
      <c r="C240" s="93"/>
      <c r="D240" s="100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</row>
    <row r="241" spans="1:23" ht="15.95" customHeight="1" x14ac:dyDescent="0.15">
      <c r="A241" s="93"/>
      <c r="B241" s="93"/>
      <c r="C241" s="93"/>
      <c r="D241" s="100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</row>
    <row r="242" spans="1:23" ht="15.95" customHeight="1" x14ac:dyDescent="0.15">
      <c r="A242" s="93"/>
      <c r="B242" s="93"/>
      <c r="C242" s="93"/>
      <c r="D242" s="100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</row>
    <row r="243" spans="1:23" ht="15.95" customHeight="1" x14ac:dyDescent="0.15">
      <c r="A243" s="93"/>
      <c r="B243" s="93"/>
      <c r="C243" s="93"/>
      <c r="D243" s="100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</row>
    <row r="244" spans="1:23" ht="15.95" customHeight="1" x14ac:dyDescent="0.15">
      <c r="A244" s="93"/>
      <c r="B244" s="93"/>
      <c r="C244" s="93"/>
      <c r="D244" s="100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</row>
    <row r="245" spans="1:23" ht="15.95" customHeight="1" x14ac:dyDescent="0.15">
      <c r="A245" s="93"/>
      <c r="B245" s="93"/>
      <c r="C245" s="93"/>
      <c r="D245" s="100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</row>
    <row r="246" spans="1:23" ht="15.95" customHeight="1" x14ac:dyDescent="0.15">
      <c r="A246" s="93"/>
      <c r="B246" s="93"/>
      <c r="C246" s="93"/>
      <c r="D246" s="100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</row>
    <row r="247" spans="1:23" ht="15.95" customHeight="1" x14ac:dyDescent="0.15">
      <c r="A247" s="93"/>
      <c r="B247" s="93"/>
      <c r="C247" s="93"/>
      <c r="D247" s="100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</row>
    <row r="248" spans="1:23" ht="15.95" customHeight="1" x14ac:dyDescent="0.15">
      <c r="A248" s="93"/>
      <c r="B248" s="93"/>
      <c r="C248" s="93"/>
      <c r="D248" s="100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</row>
    <row r="249" spans="1:23" ht="15.95" customHeight="1" x14ac:dyDescent="0.15">
      <c r="A249" s="93"/>
      <c r="B249" s="93"/>
      <c r="C249" s="93"/>
      <c r="D249" s="100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</row>
    <row r="250" spans="1:23" ht="15.95" customHeight="1" x14ac:dyDescent="0.15">
      <c r="A250" s="93"/>
      <c r="B250" s="93"/>
      <c r="C250" s="93"/>
      <c r="D250" s="100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</row>
    <row r="251" spans="1:23" ht="15.95" customHeight="1" x14ac:dyDescent="0.15">
      <c r="A251" s="93"/>
      <c r="B251" s="93"/>
      <c r="C251" s="93"/>
      <c r="D251" s="100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</row>
    <row r="252" spans="1:23" ht="15.95" customHeight="1" x14ac:dyDescent="0.15">
      <c r="A252" s="93"/>
      <c r="B252" s="93"/>
      <c r="C252" s="93"/>
      <c r="D252" s="100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</row>
    <row r="253" spans="1:23" ht="15.95" customHeight="1" x14ac:dyDescent="0.15">
      <c r="A253" s="93"/>
      <c r="B253" s="93"/>
      <c r="C253" s="93"/>
      <c r="D253" s="100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</row>
    <row r="254" spans="1:23" ht="15.95" customHeight="1" x14ac:dyDescent="0.15">
      <c r="A254" s="93"/>
      <c r="B254" s="93"/>
      <c r="C254" s="93"/>
      <c r="D254" s="100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</row>
    <row r="255" spans="1:23" ht="15.95" customHeight="1" x14ac:dyDescent="0.15">
      <c r="A255" s="93"/>
      <c r="B255" s="93"/>
      <c r="C255" s="93"/>
      <c r="D255" s="100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</row>
    <row r="256" spans="1:23" ht="15.95" customHeight="1" x14ac:dyDescent="0.15">
      <c r="A256" s="93"/>
      <c r="B256" s="93"/>
      <c r="C256" s="93"/>
      <c r="D256" s="100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</row>
    <row r="257" spans="1:23" ht="15.95" customHeight="1" x14ac:dyDescent="0.15">
      <c r="A257" s="93"/>
      <c r="B257" s="93"/>
      <c r="C257" s="93"/>
      <c r="D257" s="100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</row>
    <row r="258" spans="1:23" ht="15.95" customHeight="1" x14ac:dyDescent="0.15">
      <c r="A258" s="93"/>
      <c r="B258" s="93"/>
      <c r="C258" s="93"/>
      <c r="D258" s="100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</row>
    <row r="259" spans="1:23" ht="15.95" customHeight="1" x14ac:dyDescent="0.15">
      <c r="A259" s="93"/>
      <c r="B259" s="93"/>
      <c r="C259" s="93"/>
      <c r="D259" s="100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</row>
    <row r="260" spans="1:23" ht="15.95" customHeight="1" x14ac:dyDescent="0.15">
      <c r="A260" s="93"/>
      <c r="B260" s="93"/>
      <c r="C260" s="93"/>
      <c r="D260" s="100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</row>
    <row r="261" spans="1:23" ht="15.95" customHeight="1" x14ac:dyDescent="0.15">
      <c r="A261" s="93"/>
      <c r="B261" s="93"/>
      <c r="C261" s="93"/>
      <c r="D261" s="100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</row>
    <row r="262" spans="1:23" ht="15.95" customHeight="1" x14ac:dyDescent="0.15">
      <c r="A262" s="93"/>
      <c r="B262" s="93"/>
      <c r="C262" s="93"/>
      <c r="D262" s="100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</row>
    <row r="263" spans="1:23" ht="15.95" customHeight="1" x14ac:dyDescent="0.15">
      <c r="A263" s="93"/>
      <c r="B263" s="93"/>
      <c r="C263" s="93"/>
      <c r="D263" s="100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</row>
    <row r="264" spans="1:23" ht="15.95" customHeight="1" x14ac:dyDescent="0.15">
      <c r="A264" s="93"/>
      <c r="B264" s="93"/>
      <c r="C264" s="93"/>
      <c r="D264" s="100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</row>
    <row r="265" spans="1:23" ht="15.95" customHeight="1" x14ac:dyDescent="0.15">
      <c r="A265" s="93"/>
      <c r="B265" s="93"/>
      <c r="C265" s="93"/>
      <c r="D265" s="100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</row>
    <row r="266" spans="1:23" ht="15.95" customHeight="1" x14ac:dyDescent="0.15">
      <c r="A266" s="93"/>
      <c r="B266" s="93"/>
      <c r="C266" s="93"/>
      <c r="D266" s="100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</row>
    <row r="267" spans="1:23" ht="15.95" customHeight="1" x14ac:dyDescent="0.15">
      <c r="A267" s="93"/>
      <c r="B267" s="93"/>
      <c r="C267" s="93"/>
      <c r="D267" s="100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</row>
    <row r="268" spans="1:23" ht="15.95" customHeight="1" x14ac:dyDescent="0.15">
      <c r="A268" s="93"/>
      <c r="B268" s="93"/>
      <c r="C268" s="93"/>
      <c r="D268" s="100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</row>
    <row r="269" spans="1:23" ht="15.95" customHeight="1" x14ac:dyDescent="0.15">
      <c r="A269" s="93"/>
      <c r="B269" s="93"/>
      <c r="C269" s="93"/>
      <c r="D269" s="100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</row>
    <row r="270" spans="1:23" ht="15.95" customHeight="1" x14ac:dyDescent="0.15">
      <c r="A270" s="93"/>
      <c r="B270" s="93"/>
      <c r="C270" s="93"/>
      <c r="D270" s="100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</row>
    <row r="271" spans="1:23" ht="15.95" customHeight="1" x14ac:dyDescent="0.15">
      <c r="A271" s="93"/>
      <c r="B271" s="93"/>
      <c r="C271" s="93"/>
      <c r="D271" s="100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</row>
    <row r="272" spans="1:23" ht="15.95" customHeight="1" x14ac:dyDescent="0.15">
      <c r="A272" s="93"/>
      <c r="B272" s="93"/>
      <c r="C272" s="93"/>
      <c r="D272" s="100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</row>
    <row r="273" spans="1:23" ht="15.95" customHeight="1" x14ac:dyDescent="0.15">
      <c r="A273" s="93"/>
      <c r="B273" s="93"/>
      <c r="C273" s="93"/>
      <c r="D273" s="100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</row>
    <row r="274" spans="1:23" ht="15.95" customHeight="1" x14ac:dyDescent="0.15">
      <c r="A274" s="93"/>
      <c r="B274" s="93"/>
      <c r="C274" s="93"/>
      <c r="D274" s="100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</row>
    <row r="275" spans="1:23" ht="15.95" customHeight="1" x14ac:dyDescent="0.15">
      <c r="A275" s="93"/>
      <c r="B275" s="93"/>
      <c r="C275" s="93"/>
      <c r="D275" s="100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</row>
    <row r="276" spans="1:23" ht="15.95" customHeight="1" x14ac:dyDescent="0.15">
      <c r="A276" s="93"/>
      <c r="B276" s="93"/>
      <c r="C276" s="93"/>
      <c r="D276" s="100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</row>
    <row r="277" spans="1:23" ht="15.95" customHeight="1" x14ac:dyDescent="0.15">
      <c r="A277" s="93"/>
      <c r="B277" s="93"/>
      <c r="C277" s="93"/>
      <c r="D277" s="100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</row>
    <row r="278" spans="1:23" ht="15.95" customHeight="1" x14ac:dyDescent="0.15">
      <c r="A278" s="93"/>
      <c r="B278" s="93"/>
      <c r="C278" s="93"/>
      <c r="D278" s="100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</row>
    <row r="279" spans="1:23" ht="15.95" customHeight="1" x14ac:dyDescent="0.15">
      <c r="A279" s="93"/>
      <c r="B279" s="93"/>
      <c r="C279" s="93"/>
      <c r="D279" s="100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</row>
    <row r="280" spans="1:23" ht="15.95" customHeight="1" x14ac:dyDescent="0.15">
      <c r="A280" s="93"/>
      <c r="B280" s="93"/>
      <c r="C280" s="93"/>
      <c r="D280" s="100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</row>
    <row r="281" spans="1:23" ht="15.95" customHeight="1" x14ac:dyDescent="0.15">
      <c r="A281" s="93"/>
      <c r="B281" s="93"/>
      <c r="C281" s="93"/>
      <c r="D281" s="100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</row>
    <row r="282" spans="1:23" ht="15.95" customHeight="1" x14ac:dyDescent="0.15">
      <c r="A282" s="93"/>
      <c r="B282" s="93"/>
      <c r="C282" s="93"/>
      <c r="D282" s="100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</row>
    <row r="283" spans="1:23" ht="15.95" customHeight="1" x14ac:dyDescent="0.15">
      <c r="A283" s="93"/>
      <c r="B283" s="93"/>
      <c r="C283" s="93"/>
      <c r="D283" s="100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</row>
    <row r="284" spans="1:23" ht="15.95" customHeight="1" x14ac:dyDescent="0.15">
      <c r="A284" s="93"/>
      <c r="B284" s="93"/>
      <c r="C284" s="93"/>
      <c r="D284" s="100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</row>
    <row r="285" spans="1:23" ht="15.95" customHeight="1" x14ac:dyDescent="0.15">
      <c r="A285" s="93"/>
      <c r="B285" s="93"/>
      <c r="C285" s="93"/>
      <c r="D285" s="100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</row>
    <row r="286" spans="1:23" ht="15.95" customHeight="1" x14ac:dyDescent="0.15">
      <c r="A286" s="93"/>
      <c r="B286" s="93"/>
      <c r="C286" s="93"/>
      <c r="D286" s="100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</row>
    <row r="287" spans="1:23" ht="15.95" customHeight="1" x14ac:dyDescent="0.15">
      <c r="A287" s="93"/>
      <c r="B287" s="93"/>
      <c r="C287" s="93"/>
      <c r="D287" s="100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</row>
    <row r="288" spans="1:23" ht="15.95" customHeight="1" x14ac:dyDescent="0.15">
      <c r="A288" s="93"/>
      <c r="B288" s="93"/>
      <c r="C288" s="93"/>
      <c r="D288" s="100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</row>
    <row r="289" spans="1:23" ht="15.95" customHeight="1" x14ac:dyDescent="0.15">
      <c r="A289" s="93"/>
      <c r="B289" s="93"/>
      <c r="C289" s="93"/>
      <c r="D289" s="100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</row>
    <row r="290" spans="1:23" ht="15.95" customHeight="1" x14ac:dyDescent="0.15">
      <c r="A290" s="93"/>
      <c r="B290" s="93"/>
      <c r="C290" s="93"/>
      <c r="D290" s="100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</row>
    <row r="291" spans="1:23" ht="15.95" customHeight="1" x14ac:dyDescent="0.15">
      <c r="A291" s="93"/>
      <c r="B291" s="93"/>
      <c r="C291" s="93"/>
      <c r="D291" s="100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</row>
    <row r="292" spans="1:23" ht="15.95" customHeight="1" x14ac:dyDescent="0.15">
      <c r="A292" s="93"/>
      <c r="B292" s="93"/>
      <c r="C292" s="93"/>
      <c r="D292" s="100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</row>
    <row r="293" spans="1:23" ht="15.95" customHeight="1" x14ac:dyDescent="0.15">
      <c r="A293" s="93"/>
      <c r="B293" s="93"/>
      <c r="C293" s="93"/>
      <c r="D293" s="100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</row>
    <row r="294" spans="1:23" ht="15.95" customHeight="1" x14ac:dyDescent="0.15">
      <c r="A294" s="93"/>
      <c r="B294" s="93"/>
      <c r="C294" s="93"/>
      <c r="D294" s="100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</row>
    <row r="295" spans="1:23" ht="15.95" customHeight="1" x14ac:dyDescent="0.15">
      <c r="A295" s="93"/>
      <c r="B295" s="93"/>
      <c r="C295" s="93"/>
      <c r="D295" s="100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</row>
    <row r="296" spans="1:23" ht="15.95" customHeight="1" x14ac:dyDescent="0.15">
      <c r="A296" s="93"/>
      <c r="B296" s="93"/>
      <c r="C296" s="93"/>
      <c r="D296" s="100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</row>
    <row r="297" spans="1:23" ht="15.95" customHeight="1" x14ac:dyDescent="0.15">
      <c r="A297" s="93"/>
      <c r="B297" s="93"/>
      <c r="C297" s="93"/>
      <c r="D297" s="100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</row>
    <row r="298" spans="1:23" ht="15.95" customHeight="1" x14ac:dyDescent="0.15">
      <c r="A298" s="93"/>
      <c r="B298" s="93"/>
      <c r="C298" s="93"/>
      <c r="D298" s="100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</row>
    <row r="299" spans="1:23" ht="15.95" customHeight="1" x14ac:dyDescent="0.15">
      <c r="A299" s="93"/>
      <c r="B299" s="93"/>
      <c r="C299" s="93"/>
      <c r="D299" s="100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</row>
    <row r="300" spans="1:23" ht="15.95" customHeight="1" x14ac:dyDescent="0.15">
      <c r="A300" s="93"/>
      <c r="B300" s="93"/>
      <c r="C300" s="93"/>
      <c r="D300" s="100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91"/>
      <c r="S300" s="91"/>
      <c r="T300" s="91"/>
      <c r="U300" s="91"/>
      <c r="V300" s="91"/>
      <c r="W300" s="91"/>
    </row>
    <row r="301" spans="1:23" ht="15.95" customHeight="1" x14ac:dyDescent="0.15">
      <c r="A301" s="93"/>
      <c r="B301" s="93"/>
      <c r="C301" s="93"/>
      <c r="D301" s="100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  <c r="U301" s="91"/>
      <c r="V301" s="91"/>
      <c r="W301" s="91"/>
    </row>
    <row r="302" spans="1:23" ht="15.95" customHeight="1" x14ac:dyDescent="0.15">
      <c r="A302" s="93"/>
      <c r="B302" s="93"/>
      <c r="C302" s="93"/>
      <c r="D302" s="100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  <c r="U302" s="91"/>
      <c r="V302" s="91"/>
      <c r="W302" s="91"/>
    </row>
    <row r="303" spans="1:23" ht="15.95" customHeight="1" x14ac:dyDescent="0.15">
      <c r="A303" s="93"/>
      <c r="B303" s="93"/>
      <c r="C303" s="93"/>
      <c r="D303" s="100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91"/>
      <c r="S303" s="91"/>
      <c r="T303" s="91"/>
      <c r="U303" s="91"/>
      <c r="V303" s="91"/>
      <c r="W303" s="91"/>
    </row>
    <row r="304" spans="1:23" ht="15.95" customHeight="1" x14ac:dyDescent="0.15">
      <c r="A304" s="93"/>
      <c r="B304" s="93"/>
      <c r="C304" s="93"/>
      <c r="D304" s="100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91"/>
      <c r="S304" s="91"/>
      <c r="T304" s="91"/>
      <c r="U304" s="91"/>
      <c r="V304" s="91"/>
      <c r="W304" s="91"/>
    </row>
    <row r="305" spans="1:23" ht="15.95" customHeight="1" x14ac:dyDescent="0.15">
      <c r="A305" s="93"/>
      <c r="B305" s="93"/>
      <c r="C305" s="93"/>
      <c r="D305" s="100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  <c r="U305" s="91"/>
      <c r="V305" s="91"/>
      <c r="W305" s="91"/>
    </row>
    <row r="306" spans="1:23" ht="15.95" customHeight="1" x14ac:dyDescent="0.15">
      <c r="A306" s="93"/>
      <c r="B306" s="93"/>
      <c r="C306" s="93"/>
      <c r="D306" s="100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  <c r="U306" s="91"/>
      <c r="V306" s="91"/>
      <c r="W306" s="91"/>
    </row>
    <row r="307" spans="1:23" ht="15.95" customHeight="1" x14ac:dyDescent="0.15">
      <c r="A307" s="93"/>
      <c r="B307" s="93"/>
      <c r="C307" s="93"/>
      <c r="D307" s="100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</row>
    <row r="308" spans="1:23" ht="15.95" customHeight="1" x14ac:dyDescent="0.15">
      <c r="A308" s="93"/>
      <c r="B308" s="93"/>
      <c r="C308" s="93"/>
      <c r="D308" s="100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</row>
    <row r="309" spans="1:23" ht="15.95" customHeight="1" x14ac:dyDescent="0.15">
      <c r="A309" s="93"/>
      <c r="B309" s="93"/>
      <c r="C309" s="93"/>
      <c r="D309" s="100"/>
      <c r="E309" s="91"/>
      <c r="F309" s="91"/>
      <c r="G309" s="91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</row>
    <row r="310" spans="1:23" ht="15.95" customHeight="1" x14ac:dyDescent="0.15">
      <c r="A310" s="93"/>
      <c r="B310" s="93"/>
      <c r="C310" s="93"/>
      <c r="D310" s="100"/>
      <c r="E310" s="91"/>
      <c r="F310" s="91"/>
      <c r="G310" s="91"/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91"/>
      <c r="S310" s="91"/>
      <c r="T310" s="91"/>
      <c r="U310" s="91"/>
      <c r="V310" s="91"/>
      <c r="W310" s="91"/>
    </row>
    <row r="311" spans="1:23" ht="15.95" customHeight="1" x14ac:dyDescent="0.15">
      <c r="A311" s="93"/>
      <c r="B311" s="93"/>
      <c r="C311" s="93"/>
      <c r="D311" s="100"/>
      <c r="E311" s="91"/>
      <c r="F311" s="91"/>
      <c r="G311" s="91"/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</row>
    <row r="312" spans="1:23" ht="15.95" customHeight="1" x14ac:dyDescent="0.15">
      <c r="A312" s="93"/>
      <c r="B312" s="93"/>
      <c r="C312" s="93"/>
      <c r="D312" s="100"/>
      <c r="E312" s="91"/>
      <c r="F312" s="91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</row>
    <row r="313" spans="1:23" ht="15.95" customHeight="1" x14ac:dyDescent="0.15">
      <c r="A313" s="93"/>
      <c r="B313" s="93"/>
      <c r="C313" s="93"/>
      <c r="D313" s="100"/>
      <c r="E313" s="91"/>
      <c r="F313" s="91"/>
      <c r="G313" s="91"/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  <c r="U313" s="91"/>
      <c r="V313" s="91"/>
      <c r="W313" s="91"/>
    </row>
    <row r="314" spans="1:23" ht="15.95" customHeight="1" x14ac:dyDescent="0.15">
      <c r="A314" s="93"/>
      <c r="B314" s="93"/>
      <c r="C314" s="93"/>
      <c r="D314" s="100"/>
      <c r="E314" s="91"/>
      <c r="F314" s="91"/>
      <c r="G314" s="91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  <c r="U314" s="91"/>
      <c r="V314" s="91"/>
      <c r="W314" s="91"/>
    </row>
    <row r="315" spans="1:23" ht="15.95" customHeight="1" x14ac:dyDescent="0.15">
      <c r="A315" s="93"/>
      <c r="B315" s="93"/>
      <c r="C315" s="93"/>
      <c r="D315" s="100"/>
      <c r="E315" s="91"/>
      <c r="F315" s="91"/>
      <c r="G315" s="91"/>
      <c r="H315" s="91"/>
      <c r="I315" s="91"/>
      <c r="J315" s="91"/>
      <c r="K315" s="91"/>
      <c r="L315" s="91"/>
      <c r="M315" s="91"/>
      <c r="N315" s="91"/>
      <c r="O315" s="91"/>
      <c r="P315" s="91"/>
      <c r="Q315" s="91"/>
      <c r="R315" s="91"/>
      <c r="S315" s="91"/>
      <c r="T315" s="91"/>
      <c r="U315" s="91"/>
      <c r="V315" s="91"/>
      <c r="W315" s="91"/>
    </row>
    <row r="316" spans="1:23" ht="15.95" customHeight="1" x14ac:dyDescent="0.15">
      <c r="A316" s="93"/>
      <c r="B316" s="93"/>
      <c r="C316" s="93"/>
      <c r="D316" s="100"/>
      <c r="E316" s="91"/>
      <c r="F316" s="91"/>
      <c r="G316" s="91"/>
      <c r="H316" s="91"/>
      <c r="I316" s="91"/>
      <c r="J316" s="91"/>
      <c r="K316" s="91"/>
      <c r="L316" s="91"/>
      <c r="M316" s="91"/>
      <c r="N316" s="91"/>
      <c r="O316" s="91"/>
      <c r="P316" s="91"/>
      <c r="Q316" s="91"/>
      <c r="R316" s="91"/>
      <c r="S316" s="91"/>
      <c r="T316" s="91"/>
      <c r="U316" s="91"/>
      <c r="V316" s="91"/>
      <c r="W316" s="91"/>
    </row>
    <row r="317" spans="1:23" ht="15.95" customHeight="1" x14ac:dyDescent="0.15">
      <c r="A317" s="93"/>
      <c r="B317" s="93"/>
      <c r="C317" s="93"/>
      <c r="D317" s="100"/>
      <c r="E317" s="91"/>
      <c r="F317" s="91"/>
      <c r="G317" s="91"/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/>
      <c r="W317" s="91"/>
    </row>
    <row r="318" spans="1:23" ht="15.95" customHeight="1" x14ac:dyDescent="0.15">
      <c r="A318" s="93"/>
      <c r="B318" s="93"/>
      <c r="C318" s="93"/>
      <c r="D318" s="100"/>
      <c r="E318" s="91"/>
      <c r="F318" s="91"/>
      <c r="G318" s="91"/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/>
      <c r="W318" s="91"/>
    </row>
    <row r="319" spans="1:23" ht="15.95" customHeight="1" x14ac:dyDescent="0.15">
      <c r="A319" s="93"/>
      <c r="B319" s="93"/>
      <c r="C319" s="93"/>
      <c r="D319" s="100"/>
      <c r="E319" s="91"/>
      <c r="F319" s="91"/>
      <c r="G319" s="91"/>
      <c r="H319" s="91"/>
      <c r="I319" s="91"/>
      <c r="J319" s="91"/>
      <c r="K319" s="91"/>
      <c r="L319" s="91"/>
      <c r="M319" s="91"/>
      <c r="N319" s="91"/>
      <c r="O319" s="91"/>
      <c r="P319" s="91"/>
      <c r="Q319" s="91"/>
      <c r="R319" s="91"/>
      <c r="S319" s="91"/>
      <c r="T319" s="91"/>
      <c r="U319" s="91"/>
      <c r="V319" s="91"/>
      <c r="W319" s="91"/>
    </row>
    <row r="320" spans="1:23" ht="15.95" customHeight="1" x14ac:dyDescent="0.15">
      <c r="A320" s="93"/>
      <c r="B320" s="93"/>
      <c r="C320" s="93"/>
      <c r="D320" s="100"/>
      <c r="E320" s="91"/>
      <c r="F320" s="91"/>
      <c r="G320" s="91"/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91"/>
      <c r="S320" s="91"/>
      <c r="T320" s="91"/>
      <c r="U320" s="91"/>
      <c r="V320" s="91"/>
      <c r="W320" s="91"/>
    </row>
    <row r="321" spans="1:23" ht="15.95" customHeight="1" x14ac:dyDescent="0.15">
      <c r="A321" s="93"/>
      <c r="B321" s="93"/>
      <c r="C321" s="93"/>
      <c r="D321" s="100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</row>
    <row r="322" spans="1:23" ht="15.95" customHeight="1" x14ac:dyDescent="0.15">
      <c r="A322" s="93"/>
      <c r="B322" s="93"/>
      <c r="C322" s="93"/>
      <c r="D322" s="100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</row>
    <row r="323" spans="1:23" ht="15.95" customHeight="1" x14ac:dyDescent="0.15">
      <c r="A323" s="93"/>
      <c r="B323" s="93"/>
      <c r="C323" s="93"/>
      <c r="D323" s="100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</row>
    <row r="324" spans="1:23" ht="15.95" customHeight="1" x14ac:dyDescent="0.15">
      <c r="A324" s="93"/>
      <c r="B324" s="93"/>
      <c r="C324" s="93"/>
      <c r="D324" s="100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</row>
    <row r="325" spans="1:23" ht="15.95" customHeight="1" x14ac:dyDescent="0.15">
      <c r="A325" s="93"/>
      <c r="B325" s="93"/>
      <c r="C325" s="93"/>
      <c r="D325" s="100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</row>
    <row r="326" spans="1:23" ht="15.95" customHeight="1" x14ac:dyDescent="0.15">
      <c r="A326" s="93"/>
      <c r="B326" s="93"/>
      <c r="C326" s="93"/>
      <c r="D326" s="100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</row>
    <row r="327" spans="1:23" ht="15.95" customHeight="1" x14ac:dyDescent="0.15">
      <c r="A327" s="93"/>
      <c r="B327" s="93"/>
      <c r="C327" s="93"/>
      <c r="D327" s="100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</row>
    <row r="328" spans="1:23" ht="15.95" customHeight="1" x14ac:dyDescent="0.15">
      <c r="A328" s="93"/>
      <c r="B328" s="93"/>
      <c r="C328" s="93"/>
      <c r="D328" s="100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</row>
    <row r="329" spans="1:23" ht="15.95" customHeight="1" x14ac:dyDescent="0.15">
      <c r="A329" s="93"/>
      <c r="B329" s="93"/>
      <c r="C329" s="93"/>
      <c r="D329" s="100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</row>
    <row r="330" spans="1:23" ht="15.95" customHeight="1" x14ac:dyDescent="0.15">
      <c r="A330" s="93"/>
      <c r="B330" s="93"/>
      <c r="C330" s="93"/>
      <c r="D330" s="100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</row>
    <row r="331" spans="1:23" ht="15.95" customHeight="1" x14ac:dyDescent="0.15">
      <c r="A331" s="93"/>
      <c r="B331" s="93"/>
      <c r="C331" s="93"/>
      <c r="D331" s="100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</row>
    <row r="332" spans="1:23" ht="15.95" customHeight="1" x14ac:dyDescent="0.15">
      <c r="A332" s="93"/>
      <c r="B332" s="93"/>
      <c r="C332" s="93"/>
      <c r="D332" s="100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</row>
    <row r="333" spans="1:23" ht="15.95" customHeight="1" x14ac:dyDescent="0.15">
      <c r="A333" s="93"/>
      <c r="B333" s="93"/>
      <c r="C333" s="93"/>
      <c r="D333" s="100"/>
      <c r="E333" s="91"/>
      <c r="F333" s="91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</row>
    <row r="334" spans="1:23" ht="15.95" customHeight="1" x14ac:dyDescent="0.15">
      <c r="A334" s="93"/>
      <c r="B334" s="93"/>
      <c r="C334" s="93"/>
      <c r="D334" s="100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</row>
    <row r="335" spans="1:23" ht="15.95" customHeight="1" x14ac:dyDescent="0.15">
      <c r="A335" s="93"/>
      <c r="B335" s="93"/>
      <c r="C335" s="93"/>
      <c r="D335" s="100"/>
      <c r="E335" s="91"/>
      <c r="F335" s="91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</row>
    <row r="336" spans="1:23" ht="15.95" customHeight="1" x14ac:dyDescent="0.15">
      <c r="A336" s="93"/>
      <c r="B336" s="93"/>
      <c r="C336" s="93"/>
      <c r="D336" s="100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</row>
    <row r="337" spans="1:23" ht="15.95" customHeight="1" x14ac:dyDescent="0.15">
      <c r="A337" s="93"/>
      <c r="B337" s="93"/>
      <c r="C337" s="93"/>
      <c r="D337" s="100"/>
      <c r="E337" s="91"/>
      <c r="F337" s="91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</row>
    <row r="338" spans="1:23" ht="15.95" customHeight="1" x14ac:dyDescent="0.15">
      <c r="A338" s="93"/>
      <c r="B338" s="93"/>
      <c r="C338" s="93"/>
      <c r="D338" s="100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</row>
    <row r="339" spans="1:23" ht="15.95" customHeight="1" x14ac:dyDescent="0.15">
      <c r="A339" s="93"/>
      <c r="B339" s="93"/>
      <c r="C339" s="93"/>
      <c r="D339" s="100"/>
      <c r="E339" s="91"/>
      <c r="F339" s="91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</row>
    <row r="340" spans="1:23" ht="15.95" customHeight="1" x14ac:dyDescent="0.15">
      <c r="A340" s="93"/>
      <c r="B340" s="93"/>
      <c r="C340" s="93"/>
      <c r="D340" s="100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</row>
    <row r="341" spans="1:23" ht="15.95" customHeight="1" x14ac:dyDescent="0.15">
      <c r="A341" s="93"/>
      <c r="B341" s="93"/>
      <c r="C341" s="93"/>
      <c r="D341" s="100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</row>
    <row r="342" spans="1:23" ht="15.95" customHeight="1" x14ac:dyDescent="0.15">
      <c r="A342" s="93"/>
      <c r="B342" s="93"/>
      <c r="C342" s="93"/>
      <c r="D342" s="100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</row>
    <row r="343" spans="1:23" ht="15.95" customHeight="1" x14ac:dyDescent="0.15">
      <c r="A343" s="93"/>
      <c r="B343" s="93"/>
      <c r="C343" s="93"/>
      <c r="D343" s="100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</row>
    <row r="344" spans="1:23" ht="15.95" customHeight="1" x14ac:dyDescent="0.15">
      <c r="A344" s="93"/>
      <c r="B344" s="93"/>
      <c r="C344" s="93"/>
      <c r="D344" s="100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</row>
    <row r="345" spans="1:23" ht="15.95" customHeight="1" x14ac:dyDescent="0.15">
      <c r="A345" s="93"/>
      <c r="B345" s="93"/>
      <c r="C345" s="93"/>
      <c r="D345" s="100"/>
      <c r="E345" s="91"/>
      <c r="F345" s="91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</row>
    <row r="346" spans="1:23" ht="15.95" customHeight="1" x14ac:dyDescent="0.15">
      <c r="A346" s="93"/>
      <c r="B346" s="93"/>
      <c r="C346" s="93"/>
      <c r="D346" s="100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</row>
    <row r="347" spans="1:23" ht="15.95" customHeight="1" x14ac:dyDescent="0.15">
      <c r="A347" s="93"/>
      <c r="B347" s="93"/>
      <c r="C347" s="93"/>
      <c r="D347" s="100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</row>
    <row r="348" spans="1:23" ht="15.95" customHeight="1" x14ac:dyDescent="0.15">
      <c r="A348" s="93"/>
      <c r="B348" s="93"/>
      <c r="C348" s="93"/>
      <c r="D348" s="100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</row>
    <row r="349" spans="1:23" ht="15.95" customHeight="1" x14ac:dyDescent="0.15">
      <c r="A349" s="93"/>
      <c r="B349" s="93"/>
      <c r="C349" s="93"/>
      <c r="D349" s="100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</row>
    <row r="350" spans="1:23" ht="15.95" customHeight="1" x14ac:dyDescent="0.15">
      <c r="A350" s="93"/>
      <c r="B350" s="93"/>
      <c r="C350" s="93"/>
      <c r="D350" s="100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</row>
    <row r="351" spans="1:23" ht="15.95" customHeight="1" x14ac:dyDescent="0.15">
      <c r="A351" s="93"/>
      <c r="B351" s="93"/>
      <c r="C351" s="93"/>
      <c r="D351" s="100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</row>
    <row r="352" spans="1:23" ht="15.95" customHeight="1" x14ac:dyDescent="0.15">
      <c r="A352" s="93"/>
      <c r="B352" s="93"/>
      <c r="C352" s="93"/>
      <c r="D352" s="100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</row>
    <row r="353" spans="1:23" ht="15.95" customHeight="1" x14ac:dyDescent="0.15">
      <c r="A353" s="93"/>
      <c r="B353" s="93"/>
      <c r="C353" s="93"/>
      <c r="D353" s="100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</row>
    <row r="354" spans="1:23" ht="15.95" customHeight="1" x14ac:dyDescent="0.15">
      <c r="A354" s="93"/>
      <c r="B354" s="93"/>
      <c r="C354" s="93"/>
      <c r="D354" s="100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</row>
    <row r="355" spans="1:23" ht="15.95" customHeight="1" x14ac:dyDescent="0.15">
      <c r="A355" s="93"/>
      <c r="B355" s="93"/>
      <c r="C355" s="93"/>
      <c r="D355" s="100"/>
      <c r="E355" s="91"/>
      <c r="F355" s="91"/>
      <c r="G355" s="91"/>
      <c r="H355" s="91"/>
      <c r="I355" s="91"/>
      <c r="J355" s="91"/>
      <c r="K355" s="91"/>
      <c r="L355" s="91"/>
      <c r="M355" s="91"/>
      <c r="N355" s="91"/>
      <c r="O355" s="91"/>
      <c r="P355" s="91"/>
      <c r="Q355" s="91"/>
      <c r="R355" s="91"/>
      <c r="S355" s="91"/>
      <c r="T355" s="91"/>
      <c r="U355" s="91"/>
      <c r="V355" s="91"/>
      <c r="W355" s="91"/>
    </row>
    <row r="356" spans="1:23" ht="15.95" customHeight="1" x14ac:dyDescent="0.15">
      <c r="A356" s="93"/>
      <c r="B356" s="93"/>
      <c r="C356" s="93"/>
      <c r="D356" s="100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1"/>
      <c r="P356" s="91"/>
      <c r="Q356" s="91"/>
      <c r="R356" s="91"/>
      <c r="S356" s="91"/>
      <c r="T356" s="91"/>
      <c r="U356" s="91"/>
      <c r="V356" s="91"/>
      <c r="W356" s="91"/>
    </row>
    <row r="357" spans="1:23" ht="15.95" customHeight="1" x14ac:dyDescent="0.15">
      <c r="A357" s="93"/>
      <c r="B357" s="93"/>
      <c r="C357" s="93"/>
      <c r="D357" s="100"/>
      <c r="E357" s="91"/>
      <c r="F357" s="91"/>
      <c r="G357" s="91"/>
      <c r="H357" s="91"/>
      <c r="I357" s="91"/>
      <c r="J357" s="91"/>
      <c r="K357" s="91"/>
      <c r="L357" s="91"/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</row>
    <row r="358" spans="1:23" ht="15.95" customHeight="1" x14ac:dyDescent="0.15">
      <c r="A358" s="93"/>
      <c r="B358" s="93"/>
      <c r="C358" s="93"/>
      <c r="D358" s="100"/>
      <c r="E358" s="91"/>
      <c r="F358" s="91"/>
      <c r="G358" s="91"/>
      <c r="H358" s="91"/>
      <c r="I358" s="91"/>
      <c r="J358" s="91"/>
      <c r="K358" s="91"/>
      <c r="L358" s="91"/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</row>
    <row r="359" spans="1:23" ht="15.95" customHeight="1" x14ac:dyDescent="0.15">
      <c r="A359" s="93"/>
      <c r="B359" s="93"/>
      <c r="C359" s="93"/>
      <c r="D359" s="100"/>
      <c r="E359" s="91"/>
      <c r="F359" s="91"/>
      <c r="G359" s="91"/>
      <c r="H359" s="91"/>
      <c r="I359" s="91"/>
      <c r="J359" s="91"/>
      <c r="K359" s="91"/>
      <c r="L359" s="91"/>
      <c r="M359" s="91"/>
      <c r="N359" s="91"/>
      <c r="O359" s="91"/>
      <c r="P359" s="91"/>
      <c r="Q359" s="91"/>
      <c r="R359" s="91"/>
      <c r="S359" s="91"/>
      <c r="T359" s="91"/>
      <c r="U359" s="91"/>
      <c r="V359" s="91"/>
      <c r="W359" s="91"/>
    </row>
    <row r="360" spans="1:23" ht="15.95" customHeight="1" x14ac:dyDescent="0.15">
      <c r="A360" s="93"/>
      <c r="B360" s="93"/>
      <c r="C360" s="93"/>
      <c r="D360" s="100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91"/>
      <c r="P360" s="91"/>
      <c r="Q360" s="91"/>
      <c r="R360" s="91"/>
      <c r="S360" s="91"/>
      <c r="T360" s="91"/>
      <c r="U360" s="91"/>
      <c r="V360" s="91"/>
      <c r="W360" s="91"/>
    </row>
    <row r="361" spans="1:23" ht="15.95" customHeight="1" x14ac:dyDescent="0.15">
      <c r="A361" s="93"/>
      <c r="B361" s="93"/>
      <c r="C361" s="93"/>
      <c r="D361" s="100"/>
      <c r="E361" s="91"/>
      <c r="F361" s="91"/>
      <c r="G361" s="91"/>
      <c r="H361" s="91"/>
      <c r="I361" s="91"/>
      <c r="J361" s="91"/>
      <c r="K361" s="91"/>
      <c r="L361" s="91"/>
      <c r="M361" s="91"/>
      <c r="N361" s="91"/>
      <c r="O361" s="91"/>
      <c r="P361" s="91"/>
      <c r="Q361" s="91"/>
      <c r="R361" s="91"/>
      <c r="S361" s="91"/>
      <c r="T361" s="91"/>
      <c r="U361" s="91"/>
      <c r="V361" s="91"/>
      <c r="W361" s="91"/>
    </row>
    <row r="362" spans="1:23" ht="15.95" customHeight="1" x14ac:dyDescent="0.15">
      <c r="A362" s="93"/>
      <c r="B362" s="93"/>
      <c r="C362" s="93"/>
      <c r="D362" s="100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91"/>
      <c r="P362" s="91"/>
      <c r="Q362" s="91"/>
      <c r="R362" s="91"/>
      <c r="S362" s="91"/>
      <c r="T362" s="91"/>
      <c r="U362" s="91"/>
      <c r="V362" s="91"/>
      <c r="W362" s="91"/>
    </row>
    <row r="363" spans="1:23" ht="15.95" customHeight="1" x14ac:dyDescent="0.15">
      <c r="A363" s="93"/>
      <c r="B363" s="93"/>
      <c r="C363" s="93"/>
      <c r="D363" s="100"/>
      <c r="E363" s="91"/>
      <c r="F363" s="91"/>
      <c r="G363" s="91"/>
      <c r="H363" s="91"/>
      <c r="I363" s="91"/>
      <c r="J363" s="91"/>
      <c r="K363" s="91"/>
      <c r="L363" s="91"/>
      <c r="M363" s="91"/>
      <c r="N363" s="91"/>
      <c r="O363" s="91"/>
      <c r="P363" s="91"/>
      <c r="Q363" s="91"/>
      <c r="R363" s="91"/>
      <c r="S363" s="91"/>
      <c r="T363" s="91"/>
      <c r="U363" s="91"/>
      <c r="V363" s="91"/>
      <c r="W363" s="91"/>
    </row>
    <row r="364" spans="1:23" ht="15.95" customHeight="1" x14ac:dyDescent="0.15">
      <c r="A364" s="93"/>
      <c r="B364" s="93"/>
      <c r="C364" s="93"/>
      <c r="D364" s="100"/>
      <c r="E364" s="91"/>
      <c r="F364" s="91"/>
      <c r="G364" s="91"/>
      <c r="H364" s="91"/>
      <c r="I364" s="91"/>
      <c r="J364" s="91"/>
      <c r="K364" s="91"/>
      <c r="L364" s="91"/>
      <c r="M364" s="91"/>
      <c r="N364" s="91"/>
      <c r="O364" s="91"/>
      <c r="P364" s="91"/>
      <c r="Q364" s="91"/>
      <c r="R364" s="91"/>
      <c r="S364" s="91"/>
      <c r="T364" s="91"/>
      <c r="U364" s="91"/>
      <c r="V364" s="91"/>
      <c r="W364" s="91"/>
    </row>
    <row r="365" spans="1:23" ht="15.95" customHeight="1" x14ac:dyDescent="0.15">
      <c r="A365" s="93"/>
      <c r="B365" s="93"/>
      <c r="C365" s="93"/>
      <c r="D365" s="100"/>
      <c r="E365" s="91"/>
      <c r="F365" s="91"/>
      <c r="G365" s="91"/>
      <c r="H365" s="91"/>
      <c r="I365" s="91"/>
      <c r="J365" s="91"/>
      <c r="K365" s="91"/>
      <c r="L365" s="91"/>
      <c r="M365" s="91"/>
      <c r="N365" s="91"/>
      <c r="O365" s="91"/>
      <c r="P365" s="91"/>
      <c r="Q365" s="91"/>
      <c r="R365" s="91"/>
      <c r="S365" s="91"/>
      <c r="T365" s="91"/>
      <c r="U365" s="91"/>
      <c r="V365" s="91"/>
      <c r="W365" s="91"/>
    </row>
    <row r="366" spans="1:23" ht="15.95" customHeight="1" x14ac:dyDescent="0.15">
      <c r="A366" s="93"/>
      <c r="B366" s="93"/>
      <c r="C366" s="93"/>
      <c r="D366" s="100"/>
      <c r="E366" s="91"/>
      <c r="F366" s="91"/>
      <c r="G366" s="91"/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91"/>
      <c r="S366" s="91"/>
      <c r="T366" s="91"/>
      <c r="U366" s="91"/>
      <c r="V366" s="91"/>
      <c r="W366" s="91"/>
    </row>
    <row r="367" spans="1:23" ht="15.95" customHeight="1" x14ac:dyDescent="0.15">
      <c r="A367" s="93"/>
      <c r="B367" s="93"/>
      <c r="C367" s="93"/>
      <c r="D367" s="100"/>
      <c r="E367" s="91"/>
      <c r="F367" s="91"/>
      <c r="G367" s="91"/>
      <c r="H367" s="91"/>
      <c r="I367" s="91"/>
      <c r="J367" s="91"/>
      <c r="K367" s="91"/>
      <c r="L367" s="91"/>
      <c r="M367" s="91"/>
      <c r="N367" s="91"/>
      <c r="O367" s="91"/>
      <c r="P367" s="91"/>
      <c r="Q367" s="91"/>
      <c r="R367" s="91"/>
      <c r="S367" s="91"/>
      <c r="T367" s="91"/>
      <c r="U367" s="91"/>
      <c r="V367" s="91"/>
      <c r="W367" s="91"/>
    </row>
    <row r="368" spans="1:23" ht="15.95" customHeight="1" x14ac:dyDescent="0.15">
      <c r="A368" s="93"/>
      <c r="B368" s="93"/>
      <c r="C368" s="93"/>
      <c r="D368" s="100"/>
      <c r="E368" s="91"/>
      <c r="F368" s="91"/>
      <c r="G368" s="91"/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91"/>
      <c r="S368" s="91"/>
      <c r="T368" s="91"/>
      <c r="U368" s="91"/>
      <c r="V368" s="91"/>
      <c r="W368" s="91"/>
    </row>
    <row r="369" spans="1:23" ht="15.95" customHeight="1" x14ac:dyDescent="0.15">
      <c r="A369" s="93"/>
      <c r="B369" s="93"/>
      <c r="C369" s="93"/>
      <c r="D369" s="100"/>
      <c r="E369" s="91"/>
      <c r="F369" s="91"/>
      <c r="G369" s="91"/>
      <c r="H369" s="91"/>
      <c r="I369" s="91"/>
      <c r="J369" s="91"/>
      <c r="K369" s="91"/>
      <c r="L369" s="91"/>
      <c r="M369" s="91"/>
      <c r="N369" s="91"/>
      <c r="O369" s="91"/>
      <c r="P369" s="91"/>
      <c r="Q369" s="91"/>
      <c r="R369" s="91"/>
      <c r="S369" s="91"/>
      <c r="T369" s="91"/>
      <c r="U369" s="91"/>
      <c r="V369" s="91"/>
      <c r="W369" s="91"/>
    </row>
    <row r="370" spans="1:23" ht="15.95" customHeight="1" x14ac:dyDescent="0.15">
      <c r="A370" s="93"/>
      <c r="B370" s="93"/>
      <c r="C370" s="93"/>
      <c r="D370" s="100"/>
      <c r="E370" s="91"/>
      <c r="F370" s="91"/>
      <c r="G370" s="91"/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91"/>
      <c r="S370" s="91"/>
      <c r="T370" s="91"/>
      <c r="U370" s="91"/>
      <c r="V370" s="91"/>
      <c r="W370" s="91"/>
    </row>
    <row r="371" spans="1:23" ht="15.95" customHeight="1" x14ac:dyDescent="0.15">
      <c r="A371" s="93"/>
      <c r="B371" s="93"/>
      <c r="C371" s="93"/>
      <c r="D371" s="100"/>
      <c r="E371" s="91"/>
      <c r="F371" s="91"/>
      <c r="G371" s="91"/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/>
      <c r="W371" s="91"/>
    </row>
    <row r="372" spans="1:23" ht="15.95" customHeight="1" x14ac:dyDescent="0.15">
      <c r="A372" s="93"/>
      <c r="B372" s="93"/>
      <c r="C372" s="93"/>
      <c r="D372" s="100"/>
      <c r="E372" s="91"/>
      <c r="F372" s="91"/>
      <c r="G372" s="91"/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91"/>
      <c r="S372" s="91"/>
      <c r="T372" s="91"/>
      <c r="U372" s="91"/>
      <c r="V372" s="91"/>
      <c r="W372" s="91"/>
    </row>
    <row r="373" spans="1:23" ht="15.95" customHeight="1" x14ac:dyDescent="0.15">
      <c r="A373" s="93"/>
      <c r="B373" s="93"/>
      <c r="C373" s="93"/>
      <c r="D373" s="100"/>
      <c r="E373" s="91"/>
      <c r="F373" s="91"/>
      <c r="G373" s="91"/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/>
      <c r="W373" s="91"/>
    </row>
    <row r="374" spans="1:23" ht="15.95" customHeight="1" x14ac:dyDescent="0.15">
      <c r="A374" s="93"/>
      <c r="B374" s="93"/>
      <c r="C374" s="93"/>
      <c r="D374" s="100"/>
      <c r="E374" s="91"/>
      <c r="F374" s="91"/>
      <c r="G374" s="91"/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91"/>
      <c r="S374" s="91"/>
      <c r="T374" s="91"/>
      <c r="U374" s="91"/>
      <c r="V374" s="91"/>
      <c r="W374" s="91"/>
    </row>
    <row r="375" spans="1:23" ht="15.95" customHeight="1" x14ac:dyDescent="0.15">
      <c r="A375" s="93"/>
      <c r="B375" s="93"/>
      <c r="C375" s="93"/>
      <c r="D375" s="100"/>
      <c r="E375" s="91"/>
      <c r="F375" s="91"/>
      <c r="G375" s="91"/>
      <c r="H375" s="91"/>
      <c r="I375" s="91"/>
      <c r="J375" s="91"/>
      <c r="K375" s="91"/>
      <c r="L375" s="91"/>
      <c r="M375" s="91"/>
      <c r="N375" s="91"/>
      <c r="O375" s="91"/>
      <c r="P375" s="91"/>
      <c r="Q375" s="91"/>
      <c r="R375" s="91"/>
      <c r="S375" s="91"/>
      <c r="T375" s="91"/>
      <c r="U375" s="91"/>
      <c r="V375" s="91"/>
      <c r="W375" s="91"/>
    </row>
    <row r="376" spans="1:23" ht="15.95" customHeight="1" x14ac:dyDescent="0.15">
      <c r="A376" s="93"/>
      <c r="B376" s="93"/>
      <c r="C376" s="93"/>
      <c r="D376" s="100"/>
      <c r="E376" s="91"/>
      <c r="F376" s="91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91"/>
      <c r="S376" s="91"/>
      <c r="T376" s="91"/>
      <c r="U376" s="91"/>
      <c r="V376" s="91"/>
      <c r="W376" s="91"/>
    </row>
    <row r="377" spans="1:23" ht="15.95" customHeight="1" x14ac:dyDescent="0.15">
      <c r="A377" s="93"/>
      <c r="B377" s="93"/>
      <c r="C377" s="93"/>
      <c r="D377" s="100"/>
      <c r="E377" s="91"/>
      <c r="F377" s="91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</row>
    <row r="378" spans="1:23" ht="15.95" customHeight="1" x14ac:dyDescent="0.15">
      <c r="A378" s="93"/>
      <c r="B378" s="93"/>
      <c r="C378" s="93"/>
      <c r="D378" s="100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</row>
    <row r="379" spans="1:23" ht="15.95" customHeight="1" x14ac:dyDescent="0.15">
      <c r="A379" s="93"/>
      <c r="B379" s="93"/>
      <c r="C379" s="93"/>
      <c r="D379" s="100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</row>
    <row r="380" spans="1:23" ht="15.95" customHeight="1" x14ac:dyDescent="0.15">
      <c r="A380" s="93"/>
      <c r="B380" s="93"/>
      <c r="C380" s="93"/>
      <c r="D380" s="100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</row>
    <row r="381" spans="1:23" ht="15.95" customHeight="1" x14ac:dyDescent="0.15">
      <c r="A381" s="93"/>
      <c r="B381" s="93"/>
      <c r="C381" s="93"/>
      <c r="D381" s="100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</row>
    <row r="382" spans="1:23" ht="15.95" customHeight="1" x14ac:dyDescent="0.15">
      <c r="A382" s="93"/>
      <c r="B382" s="93"/>
      <c r="C382" s="93"/>
      <c r="D382" s="100"/>
      <c r="E382" s="91"/>
      <c r="F382" s="91"/>
      <c r="G382" s="91"/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91"/>
      <c r="S382" s="91"/>
      <c r="T382" s="91"/>
      <c r="U382" s="91"/>
      <c r="V382" s="91"/>
      <c r="W382" s="91"/>
    </row>
    <row r="383" spans="1:23" ht="15.95" customHeight="1" x14ac:dyDescent="0.15">
      <c r="A383" s="93"/>
      <c r="B383" s="93"/>
      <c r="C383" s="93"/>
      <c r="D383" s="100"/>
      <c r="E383" s="91"/>
      <c r="F383" s="91"/>
      <c r="G383" s="91"/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/>
      <c r="W383" s="91"/>
    </row>
    <row r="384" spans="1:23" ht="15.95" customHeight="1" x14ac:dyDescent="0.15">
      <c r="A384" s="93"/>
      <c r="B384" s="93"/>
      <c r="C384" s="93"/>
      <c r="D384" s="100"/>
      <c r="E384" s="91"/>
      <c r="F384" s="91"/>
      <c r="G384" s="91"/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91"/>
      <c r="S384" s="91"/>
      <c r="T384" s="91"/>
      <c r="U384" s="91"/>
      <c r="V384" s="91"/>
      <c r="W384" s="91"/>
    </row>
    <row r="385" spans="1:23" ht="15.95" customHeight="1" x14ac:dyDescent="0.15">
      <c r="A385" s="93"/>
      <c r="B385" s="93"/>
      <c r="C385" s="93"/>
      <c r="D385" s="100"/>
      <c r="E385" s="91"/>
      <c r="F385" s="91"/>
      <c r="G385" s="91"/>
      <c r="H385" s="91"/>
      <c r="I385" s="91"/>
      <c r="J385" s="91"/>
      <c r="K385" s="91"/>
      <c r="L385" s="91"/>
      <c r="M385" s="91"/>
      <c r="N385" s="91"/>
      <c r="O385" s="91"/>
      <c r="P385" s="91"/>
      <c r="Q385" s="91"/>
      <c r="R385" s="91"/>
      <c r="S385" s="91"/>
      <c r="T385" s="91"/>
      <c r="U385" s="91"/>
      <c r="V385" s="91"/>
      <c r="W385" s="91"/>
    </row>
    <row r="386" spans="1:23" ht="15.95" customHeight="1" x14ac:dyDescent="0.15">
      <c r="A386" s="93"/>
      <c r="B386" s="93"/>
      <c r="C386" s="93"/>
      <c r="D386" s="100"/>
      <c r="E386" s="91"/>
      <c r="F386" s="91"/>
      <c r="G386" s="91"/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91"/>
      <c r="S386" s="91"/>
      <c r="T386" s="91"/>
      <c r="U386" s="91"/>
      <c r="V386" s="91"/>
      <c r="W386" s="91"/>
    </row>
    <row r="387" spans="1:23" ht="15.95" customHeight="1" x14ac:dyDescent="0.15">
      <c r="A387" s="93"/>
      <c r="B387" s="93"/>
      <c r="C387" s="93"/>
      <c r="D387" s="100"/>
      <c r="E387" s="91"/>
      <c r="F387" s="91"/>
      <c r="G387" s="91"/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/>
      <c r="W387" s="91"/>
    </row>
    <row r="388" spans="1:23" ht="15.95" customHeight="1" x14ac:dyDescent="0.15">
      <c r="A388" s="93"/>
      <c r="B388" s="93"/>
      <c r="C388" s="93"/>
      <c r="D388" s="100"/>
      <c r="E388" s="91"/>
      <c r="F388" s="91"/>
      <c r="G388" s="91"/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91"/>
      <c r="S388" s="91"/>
      <c r="T388" s="91"/>
      <c r="U388" s="91"/>
      <c r="V388" s="91"/>
      <c r="W388" s="91"/>
    </row>
    <row r="389" spans="1:23" ht="15.95" customHeight="1" x14ac:dyDescent="0.15">
      <c r="A389" s="93"/>
      <c r="B389" s="93"/>
      <c r="C389" s="93"/>
      <c r="D389" s="100"/>
      <c r="E389" s="91"/>
      <c r="F389" s="91"/>
      <c r="G389" s="91"/>
      <c r="H389" s="91"/>
      <c r="I389" s="91"/>
      <c r="J389" s="91"/>
      <c r="K389" s="91"/>
      <c r="L389" s="91"/>
      <c r="M389" s="91"/>
      <c r="N389" s="91"/>
      <c r="O389" s="91"/>
      <c r="P389" s="91"/>
      <c r="Q389" s="91"/>
      <c r="R389" s="91"/>
      <c r="S389" s="91"/>
      <c r="T389" s="91"/>
      <c r="U389" s="91"/>
      <c r="V389" s="91"/>
      <c r="W389" s="91"/>
    </row>
    <row r="390" spans="1:23" ht="15.95" customHeight="1" x14ac:dyDescent="0.15">
      <c r="A390" s="93"/>
      <c r="B390" s="93"/>
      <c r="C390" s="93"/>
      <c r="D390" s="100"/>
      <c r="E390" s="91"/>
      <c r="F390" s="91"/>
      <c r="G390" s="91"/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91"/>
      <c r="S390" s="91"/>
      <c r="T390" s="91"/>
      <c r="U390" s="91"/>
      <c r="V390" s="91"/>
      <c r="W390" s="91"/>
    </row>
    <row r="391" spans="1:23" ht="15.95" customHeight="1" x14ac:dyDescent="0.15">
      <c r="A391" s="93"/>
      <c r="B391" s="93"/>
      <c r="C391" s="93"/>
      <c r="D391" s="100"/>
      <c r="E391" s="91"/>
      <c r="F391" s="91"/>
      <c r="G391" s="91"/>
      <c r="H391" s="91"/>
      <c r="I391" s="91"/>
      <c r="J391" s="91"/>
      <c r="K391" s="91"/>
      <c r="L391" s="91"/>
      <c r="M391" s="91"/>
      <c r="N391" s="91"/>
      <c r="O391" s="91"/>
      <c r="P391" s="91"/>
      <c r="Q391" s="91"/>
      <c r="R391" s="91"/>
      <c r="S391" s="91"/>
      <c r="T391" s="91"/>
      <c r="U391" s="91"/>
      <c r="V391" s="91"/>
      <c r="W391" s="91"/>
    </row>
    <row r="392" spans="1:23" ht="15.95" customHeight="1" x14ac:dyDescent="0.15">
      <c r="A392" s="93"/>
      <c r="B392" s="93"/>
      <c r="C392" s="93"/>
      <c r="D392" s="100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91"/>
      <c r="S392" s="91"/>
      <c r="T392" s="91"/>
      <c r="U392" s="91"/>
      <c r="V392" s="91"/>
      <c r="W392" s="91"/>
    </row>
    <row r="393" spans="1:23" ht="15.95" customHeight="1" x14ac:dyDescent="0.15">
      <c r="A393" s="93"/>
      <c r="B393" s="93"/>
      <c r="C393" s="93"/>
      <c r="D393" s="100"/>
      <c r="E393" s="91"/>
      <c r="F393" s="91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</row>
    <row r="394" spans="1:23" ht="15.95" customHeight="1" x14ac:dyDescent="0.15">
      <c r="A394" s="93"/>
      <c r="B394" s="93"/>
      <c r="C394" s="93"/>
      <c r="D394" s="100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</row>
    <row r="395" spans="1:23" ht="15.95" customHeight="1" x14ac:dyDescent="0.15">
      <c r="A395" s="93"/>
      <c r="B395" s="93"/>
      <c r="C395" s="93"/>
      <c r="D395" s="100"/>
      <c r="E395" s="91"/>
      <c r="F395" s="91"/>
      <c r="G395" s="91"/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/>
      <c r="W395" s="91"/>
    </row>
    <row r="396" spans="1:23" ht="15.95" customHeight="1" x14ac:dyDescent="0.15">
      <c r="A396" s="93"/>
      <c r="B396" s="93"/>
      <c r="C396" s="93"/>
      <c r="D396" s="100"/>
      <c r="E396" s="91"/>
      <c r="F396" s="91"/>
      <c r="G396" s="91"/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91"/>
      <c r="S396" s="91"/>
      <c r="T396" s="91"/>
      <c r="U396" s="91"/>
      <c r="V396" s="91"/>
      <c r="W396" s="91"/>
    </row>
    <row r="397" spans="1:23" ht="15.95" customHeight="1" x14ac:dyDescent="0.15">
      <c r="A397" s="93"/>
      <c r="B397" s="93"/>
      <c r="C397" s="93"/>
      <c r="D397" s="100"/>
      <c r="E397" s="91"/>
      <c r="F397" s="91"/>
      <c r="G397" s="91"/>
      <c r="H397" s="91"/>
      <c r="I397" s="91"/>
      <c r="J397" s="91"/>
      <c r="K397" s="91"/>
      <c r="L397" s="91"/>
      <c r="M397" s="91"/>
      <c r="N397" s="91"/>
      <c r="O397" s="91"/>
      <c r="P397" s="91"/>
      <c r="Q397" s="91"/>
      <c r="R397" s="91"/>
      <c r="S397" s="91"/>
      <c r="T397" s="91"/>
      <c r="U397" s="91"/>
      <c r="V397" s="91"/>
      <c r="W397" s="91"/>
    </row>
    <row r="398" spans="1:23" ht="15.95" customHeight="1" x14ac:dyDescent="0.15">
      <c r="A398" s="93"/>
      <c r="B398" s="93"/>
      <c r="C398" s="93"/>
      <c r="D398" s="100"/>
      <c r="E398" s="91"/>
      <c r="F398" s="91"/>
      <c r="G398" s="91"/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91"/>
      <c r="S398" s="91"/>
      <c r="T398" s="91"/>
      <c r="U398" s="91"/>
      <c r="V398" s="91"/>
      <c r="W398" s="91"/>
    </row>
    <row r="399" spans="1:23" ht="15.95" customHeight="1" x14ac:dyDescent="0.15">
      <c r="A399" s="93"/>
      <c r="B399" s="93"/>
      <c r="C399" s="93"/>
      <c r="D399" s="100"/>
      <c r="E399" s="91"/>
      <c r="F399" s="91"/>
      <c r="G399" s="91"/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/>
      <c r="W399" s="91"/>
    </row>
    <row r="400" spans="1:23" ht="15.95" customHeight="1" x14ac:dyDescent="0.15">
      <c r="A400" s="93"/>
      <c r="B400" s="93"/>
      <c r="C400" s="93"/>
      <c r="D400" s="100"/>
      <c r="E400" s="91"/>
      <c r="F400" s="91"/>
      <c r="G400" s="91"/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/>
      <c r="W400" s="91"/>
    </row>
    <row r="401" spans="1:23" ht="15.95" customHeight="1" x14ac:dyDescent="0.15">
      <c r="A401" s="93"/>
      <c r="B401" s="93"/>
      <c r="C401" s="93"/>
      <c r="D401" s="100"/>
      <c r="E401" s="91"/>
      <c r="F401" s="91"/>
      <c r="G401" s="91"/>
      <c r="H401" s="91"/>
      <c r="I401" s="91"/>
      <c r="J401" s="91"/>
      <c r="K401" s="91"/>
      <c r="L401" s="91"/>
      <c r="M401" s="91"/>
      <c r="N401" s="91"/>
      <c r="O401" s="91"/>
      <c r="P401" s="91"/>
      <c r="Q401" s="91"/>
      <c r="R401" s="91"/>
      <c r="S401" s="91"/>
      <c r="T401" s="91"/>
      <c r="U401" s="91"/>
      <c r="V401" s="91"/>
      <c r="W401" s="91"/>
    </row>
    <row r="402" spans="1:23" ht="15.95" customHeight="1" x14ac:dyDescent="0.15">
      <c r="A402" s="93"/>
      <c r="B402" s="93"/>
      <c r="C402" s="93"/>
      <c r="D402" s="100"/>
      <c r="E402" s="91"/>
      <c r="F402" s="91"/>
      <c r="G402" s="91"/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/>
      <c r="W402" s="91"/>
    </row>
    <row r="403" spans="1:23" ht="15.95" customHeight="1" x14ac:dyDescent="0.15">
      <c r="A403" s="93"/>
      <c r="B403" s="93"/>
      <c r="C403" s="93"/>
      <c r="D403" s="100"/>
      <c r="E403" s="91"/>
      <c r="F403" s="91"/>
      <c r="G403" s="91"/>
      <c r="H403" s="91"/>
      <c r="I403" s="91"/>
      <c r="J403" s="91"/>
      <c r="K403" s="91"/>
      <c r="L403" s="91"/>
      <c r="M403" s="91"/>
      <c r="N403" s="91"/>
      <c r="O403" s="91"/>
      <c r="P403" s="91"/>
      <c r="Q403" s="91"/>
      <c r="R403" s="91"/>
      <c r="S403" s="91"/>
      <c r="T403" s="91"/>
      <c r="U403" s="91"/>
      <c r="V403" s="91"/>
      <c r="W403" s="91"/>
    </row>
    <row r="404" spans="1:23" ht="15.95" customHeight="1" x14ac:dyDescent="0.15">
      <c r="A404" s="93"/>
      <c r="B404" s="93"/>
      <c r="C404" s="93"/>
      <c r="D404" s="100"/>
      <c r="E404" s="91"/>
      <c r="F404" s="91"/>
      <c r="G404" s="91"/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91"/>
      <c r="S404" s="91"/>
      <c r="T404" s="91"/>
      <c r="U404" s="91"/>
      <c r="V404" s="91"/>
      <c r="W404" s="91"/>
    </row>
    <row r="405" spans="1:23" ht="15.95" customHeight="1" x14ac:dyDescent="0.15">
      <c r="A405" s="93"/>
      <c r="B405" s="93"/>
      <c r="C405" s="93"/>
      <c r="D405" s="100"/>
      <c r="E405" s="91"/>
      <c r="F405" s="91"/>
      <c r="G405" s="91"/>
      <c r="H405" s="91"/>
      <c r="I405" s="91"/>
      <c r="J405" s="91"/>
      <c r="K405" s="91"/>
      <c r="L405" s="91"/>
      <c r="M405" s="91"/>
      <c r="N405" s="91"/>
      <c r="O405" s="91"/>
      <c r="P405" s="91"/>
      <c r="Q405" s="91"/>
      <c r="R405" s="91"/>
      <c r="S405" s="91"/>
      <c r="T405" s="91"/>
      <c r="U405" s="91"/>
      <c r="V405" s="91"/>
      <c r="W405" s="91"/>
    </row>
    <row r="406" spans="1:23" ht="15.95" customHeight="1" x14ac:dyDescent="0.15">
      <c r="A406" s="93"/>
      <c r="B406" s="93"/>
      <c r="C406" s="93"/>
      <c r="D406" s="100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</row>
    <row r="407" spans="1:23" ht="15.95" customHeight="1" x14ac:dyDescent="0.15">
      <c r="A407" s="93"/>
      <c r="B407" s="93"/>
      <c r="C407" s="93"/>
      <c r="D407" s="100"/>
      <c r="E407" s="91"/>
      <c r="F407" s="91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</row>
    <row r="408" spans="1:23" ht="15.95" customHeight="1" x14ac:dyDescent="0.15">
      <c r="A408" s="93"/>
      <c r="B408" s="93"/>
      <c r="C408" s="93"/>
      <c r="D408" s="100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</row>
    <row r="409" spans="1:23" ht="15.95" customHeight="1" x14ac:dyDescent="0.15">
      <c r="A409" s="93"/>
      <c r="B409" s="93"/>
      <c r="C409" s="93"/>
      <c r="D409" s="100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</row>
    <row r="410" spans="1:23" ht="15.95" customHeight="1" x14ac:dyDescent="0.15">
      <c r="A410" s="93"/>
      <c r="B410" s="93"/>
      <c r="C410" s="93"/>
      <c r="D410" s="100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</row>
    <row r="411" spans="1:23" ht="15.95" customHeight="1" x14ac:dyDescent="0.15">
      <c r="A411" s="93"/>
      <c r="B411" s="93"/>
      <c r="C411" s="93"/>
      <c r="D411" s="100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</row>
    <row r="412" spans="1:23" ht="15.95" customHeight="1" x14ac:dyDescent="0.15">
      <c r="A412" s="93"/>
      <c r="B412" s="93"/>
      <c r="C412" s="93"/>
      <c r="D412" s="100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</row>
    <row r="413" spans="1:23" ht="15.95" customHeight="1" x14ac:dyDescent="0.15">
      <c r="A413" s="93"/>
      <c r="B413" s="93"/>
      <c r="C413" s="93"/>
      <c r="D413" s="100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</row>
    <row r="414" spans="1:23" ht="15.95" customHeight="1" x14ac:dyDescent="0.15">
      <c r="A414" s="93"/>
      <c r="B414" s="93"/>
      <c r="C414" s="93"/>
      <c r="D414" s="100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</row>
    <row r="415" spans="1:23" ht="15.95" customHeight="1" x14ac:dyDescent="0.15">
      <c r="A415" s="93"/>
      <c r="B415" s="93"/>
      <c r="C415" s="93"/>
      <c r="D415" s="100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</row>
    <row r="416" spans="1:23" ht="15.95" customHeight="1" x14ac:dyDescent="0.15">
      <c r="A416" s="93"/>
      <c r="B416" s="93"/>
      <c r="C416" s="93"/>
      <c r="D416" s="100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</row>
    <row r="417" spans="1:23" ht="15.95" customHeight="1" x14ac:dyDescent="0.15">
      <c r="A417" s="93"/>
      <c r="B417" s="93"/>
      <c r="C417" s="93"/>
      <c r="D417" s="100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</row>
    <row r="418" spans="1:23" ht="15.95" customHeight="1" x14ac:dyDescent="0.15">
      <c r="A418" s="93"/>
      <c r="B418" s="93"/>
      <c r="C418" s="93"/>
      <c r="D418" s="100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</row>
    <row r="419" spans="1:23" ht="15.95" customHeight="1" x14ac:dyDescent="0.15">
      <c r="A419" s="93"/>
      <c r="B419" s="93"/>
      <c r="C419" s="93"/>
      <c r="D419" s="100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</row>
    <row r="420" spans="1:23" ht="15.95" customHeight="1" x14ac:dyDescent="0.15">
      <c r="A420" s="93"/>
      <c r="B420" s="93"/>
      <c r="C420" s="93"/>
      <c r="D420" s="100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</row>
    <row r="421" spans="1:23" ht="15.95" customHeight="1" x14ac:dyDescent="0.15">
      <c r="A421" s="93"/>
      <c r="B421" s="93"/>
      <c r="C421" s="93"/>
      <c r="D421" s="100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</row>
    <row r="422" spans="1:23" ht="15.95" customHeight="1" x14ac:dyDescent="0.15">
      <c r="A422" s="93"/>
      <c r="B422" s="93"/>
      <c r="C422" s="93"/>
      <c r="D422" s="100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</row>
    <row r="423" spans="1:23" ht="15.95" customHeight="1" x14ac:dyDescent="0.15">
      <c r="A423" s="93"/>
      <c r="B423" s="93"/>
      <c r="C423" s="93"/>
      <c r="D423" s="100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</row>
    <row r="424" spans="1:23" ht="15.95" customHeight="1" x14ac:dyDescent="0.15">
      <c r="A424" s="93"/>
      <c r="B424" s="93"/>
      <c r="C424" s="93"/>
      <c r="D424" s="100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</row>
    <row r="425" spans="1:23" ht="15.95" customHeight="1" x14ac:dyDescent="0.15">
      <c r="A425" s="93"/>
      <c r="B425" s="93"/>
      <c r="C425" s="93"/>
      <c r="D425" s="100"/>
      <c r="E425" s="91"/>
      <c r="F425" s="91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</row>
    <row r="426" spans="1:23" ht="15.95" customHeight="1" x14ac:dyDescent="0.15">
      <c r="A426" s="93"/>
      <c r="B426" s="93"/>
      <c r="C426" s="93"/>
      <c r="D426" s="100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</row>
    <row r="427" spans="1:23" ht="15.95" customHeight="1" x14ac:dyDescent="0.15">
      <c r="A427" s="93"/>
      <c r="B427" s="93"/>
      <c r="C427" s="93"/>
      <c r="D427" s="100"/>
      <c r="E427" s="91"/>
      <c r="F427" s="91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</row>
    <row r="428" spans="1:23" ht="15.95" customHeight="1" x14ac:dyDescent="0.15">
      <c r="A428" s="93"/>
      <c r="B428" s="93"/>
      <c r="C428" s="93"/>
      <c r="D428" s="100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</row>
    <row r="429" spans="1:23" ht="15.95" customHeight="1" x14ac:dyDescent="0.15">
      <c r="A429" s="93"/>
      <c r="B429" s="93"/>
      <c r="C429" s="93"/>
      <c r="D429" s="100"/>
      <c r="E429" s="91"/>
      <c r="F429" s="91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</row>
    <row r="430" spans="1:23" ht="15.95" customHeight="1" x14ac:dyDescent="0.15">
      <c r="A430" s="93"/>
      <c r="B430" s="93"/>
      <c r="C430" s="93"/>
      <c r="D430" s="100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</row>
    <row r="431" spans="1:23" ht="15.95" customHeight="1" x14ac:dyDescent="0.15">
      <c r="A431" s="93"/>
      <c r="B431" s="93"/>
      <c r="C431" s="93"/>
      <c r="D431" s="100"/>
      <c r="E431" s="91"/>
      <c r="F431" s="91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</row>
    <row r="432" spans="1:23" ht="15.95" customHeight="1" x14ac:dyDescent="0.15">
      <c r="A432" s="93"/>
      <c r="B432" s="93"/>
      <c r="C432" s="93"/>
      <c r="D432" s="100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</row>
    <row r="433" spans="1:23" ht="15.95" customHeight="1" x14ac:dyDescent="0.15">
      <c r="A433" s="93"/>
      <c r="B433" s="93"/>
      <c r="C433" s="93"/>
      <c r="D433" s="100"/>
      <c r="E433" s="91"/>
      <c r="F433" s="91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</row>
    <row r="434" spans="1:23" ht="15.95" customHeight="1" x14ac:dyDescent="0.15">
      <c r="A434" s="93"/>
      <c r="B434" s="93"/>
      <c r="C434" s="93"/>
      <c r="D434" s="100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</row>
    <row r="435" spans="1:23" ht="15.95" customHeight="1" x14ac:dyDescent="0.15">
      <c r="A435" s="93"/>
      <c r="B435" s="93"/>
      <c r="C435" s="93"/>
      <c r="D435" s="100"/>
      <c r="E435" s="91"/>
      <c r="F435" s="91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</row>
    <row r="436" spans="1:23" ht="15.95" customHeight="1" x14ac:dyDescent="0.15">
      <c r="A436" s="93"/>
      <c r="B436" s="93"/>
      <c r="C436" s="93"/>
      <c r="D436" s="100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</row>
    <row r="437" spans="1:23" ht="15.95" customHeight="1" x14ac:dyDescent="0.15">
      <c r="A437" s="93"/>
      <c r="B437" s="93"/>
      <c r="C437" s="93"/>
      <c r="D437" s="100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</row>
    <row r="438" spans="1:23" ht="15.95" customHeight="1" x14ac:dyDescent="0.15">
      <c r="A438" s="93"/>
      <c r="B438" s="93"/>
      <c r="C438" s="93"/>
      <c r="D438" s="100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</row>
    <row r="439" spans="1:23" ht="15.95" customHeight="1" x14ac:dyDescent="0.15">
      <c r="A439" s="93"/>
      <c r="B439" s="93"/>
      <c r="C439" s="93"/>
      <c r="D439" s="100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</row>
    <row r="440" spans="1:23" ht="15.95" customHeight="1" x14ac:dyDescent="0.15">
      <c r="A440" s="93"/>
      <c r="B440" s="93"/>
      <c r="C440" s="93"/>
      <c r="D440" s="100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</row>
    <row r="441" spans="1:23" ht="15.95" customHeight="1" x14ac:dyDescent="0.15">
      <c r="A441" s="93"/>
      <c r="B441" s="93"/>
      <c r="C441" s="93"/>
      <c r="D441" s="100"/>
      <c r="E441" s="91"/>
      <c r="F441" s="91"/>
      <c r="G441" s="91"/>
      <c r="H441" s="91"/>
      <c r="I441" s="91"/>
      <c r="J441" s="91"/>
      <c r="K441" s="91"/>
      <c r="L441" s="91"/>
      <c r="M441" s="91"/>
      <c r="N441" s="91"/>
      <c r="O441" s="91"/>
      <c r="P441" s="91"/>
      <c r="Q441" s="91"/>
      <c r="R441" s="91"/>
      <c r="S441" s="91"/>
      <c r="T441" s="91"/>
      <c r="U441" s="91"/>
      <c r="V441" s="91"/>
      <c r="W441" s="91"/>
    </row>
    <row r="442" spans="1:23" ht="15.95" customHeight="1" x14ac:dyDescent="0.15">
      <c r="A442" s="93"/>
      <c r="B442" s="93"/>
      <c r="C442" s="93"/>
      <c r="D442" s="100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1"/>
      <c r="P442" s="91"/>
      <c r="Q442" s="91"/>
      <c r="R442" s="91"/>
      <c r="S442" s="91"/>
      <c r="T442" s="91"/>
      <c r="U442" s="91"/>
      <c r="V442" s="91"/>
      <c r="W442" s="91"/>
    </row>
    <row r="443" spans="1:23" ht="15.95" customHeight="1" x14ac:dyDescent="0.15">
      <c r="A443" s="93"/>
      <c r="B443" s="93"/>
      <c r="C443" s="93"/>
      <c r="D443" s="100"/>
      <c r="E443" s="91"/>
      <c r="F443" s="91"/>
      <c r="G443" s="91"/>
      <c r="H443" s="91"/>
      <c r="I443" s="91"/>
      <c r="J443" s="91"/>
      <c r="K443" s="91"/>
      <c r="L443" s="91"/>
      <c r="M443" s="91"/>
      <c r="N443" s="91"/>
      <c r="O443" s="91"/>
      <c r="P443" s="91"/>
      <c r="Q443" s="91"/>
      <c r="R443" s="91"/>
      <c r="S443" s="91"/>
      <c r="T443" s="91"/>
      <c r="U443" s="91"/>
      <c r="V443" s="91"/>
      <c r="W443" s="91"/>
    </row>
    <row r="444" spans="1:23" ht="15.95" customHeight="1" x14ac:dyDescent="0.15">
      <c r="A444" s="93"/>
      <c r="B444" s="93"/>
      <c r="C444" s="93"/>
      <c r="D444" s="100"/>
      <c r="E444" s="91"/>
      <c r="F444" s="91"/>
      <c r="G444" s="91"/>
      <c r="H444" s="91"/>
      <c r="I444" s="91"/>
      <c r="J444" s="91"/>
      <c r="K444" s="91"/>
      <c r="L444" s="91"/>
      <c r="M444" s="91"/>
      <c r="N444" s="91"/>
      <c r="O444" s="91"/>
      <c r="P444" s="91"/>
      <c r="Q444" s="91"/>
      <c r="R444" s="91"/>
      <c r="S444" s="91"/>
      <c r="T444" s="91"/>
      <c r="U444" s="91"/>
      <c r="V444" s="91"/>
      <c r="W444" s="91"/>
    </row>
    <row r="445" spans="1:23" ht="15.95" customHeight="1" x14ac:dyDescent="0.15">
      <c r="A445" s="93"/>
      <c r="B445" s="93"/>
      <c r="C445" s="93"/>
      <c r="D445" s="100"/>
      <c r="E445" s="91"/>
      <c r="F445" s="91"/>
      <c r="G445" s="91"/>
      <c r="H445" s="91"/>
      <c r="I445" s="91"/>
      <c r="J445" s="91"/>
      <c r="K445" s="91"/>
      <c r="L445" s="91"/>
      <c r="M445" s="91"/>
      <c r="N445" s="91"/>
      <c r="O445" s="91"/>
      <c r="P445" s="91"/>
      <c r="Q445" s="91"/>
      <c r="R445" s="91"/>
      <c r="S445" s="91"/>
      <c r="T445" s="91"/>
      <c r="U445" s="91"/>
      <c r="V445" s="91"/>
      <c r="W445" s="91"/>
    </row>
    <row r="446" spans="1:23" ht="15.95" customHeight="1" x14ac:dyDescent="0.15">
      <c r="A446" s="93"/>
      <c r="B446" s="93"/>
      <c r="C446" s="93"/>
      <c r="D446" s="100"/>
      <c r="E446" s="91"/>
      <c r="F446" s="91"/>
      <c r="G446" s="91"/>
      <c r="H446" s="91"/>
      <c r="I446" s="91"/>
      <c r="J446" s="91"/>
      <c r="K446" s="91"/>
      <c r="L446" s="91"/>
      <c r="M446" s="91"/>
      <c r="N446" s="91"/>
      <c r="O446" s="91"/>
      <c r="P446" s="91"/>
      <c r="Q446" s="91"/>
      <c r="R446" s="91"/>
      <c r="S446" s="91"/>
      <c r="T446" s="91"/>
      <c r="U446" s="91"/>
      <c r="V446" s="91"/>
      <c r="W446" s="91"/>
    </row>
    <row r="447" spans="1:23" ht="15.95" customHeight="1" x14ac:dyDescent="0.15">
      <c r="A447" s="93"/>
      <c r="B447" s="93"/>
      <c r="C447" s="93"/>
      <c r="D447" s="100"/>
      <c r="E447" s="91"/>
      <c r="F447" s="91"/>
      <c r="G447" s="91"/>
      <c r="H447" s="91"/>
      <c r="I447" s="91"/>
      <c r="J447" s="91"/>
      <c r="K447" s="91"/>
      <c r="L447" s="91"/>
      <c r="M447" s="91"/>
      <c r="N447" s="91"/>
      <c r="O447" s="91"/>
      <c r="P447" s="91"/>
      <c r="Q447" s="91"/>
      <c r="R447" s="91"/>
      <c r="S447" s="91"/>
      <c r="T447" s="91"/>
      <c r="U447" s="91"/>
      <c r="V447" s="91"/>
      <c r="W447" s="91"/>
    </row>
    <row r="448" spans="1:23" ht="15.95" customHeight="1" x14ac:dyDescent="0.15">
      <c r="A448" s="93"/>
      <c r="B448" s="93"/>
      <c r="C448" s="93"/>
      <c r="D448" s="100"/>
      <c r="E448" s="91"/>
      <c r="F448" s="91"/>
      <c r="G448" s="91"/>
      <c r="H448" s="91"/>
      <c r="I448" s="91"/>
      <c r="J448" s="91"/>
      <c r="K448" s="91"/>
      <c r="L448" s="91"/>
      <c r="M448" s="91"/>
      <c r="N448" s="91"/>
      <c r="O448" s="91"/>
      <c r="P448" s="91"/>
      <c r="Q448" s="91"/>
      <c r="R448" s="91"/>
      <c r="S448" s="91"/>
      <c r="T448" s="91"/>
      <c r="U448" s="91"/>
      <c r="V448" s="91"/>
      <c r="W448" s="91"/>
    </row>
    <row r="449" spans="1:23" ht="15.95" customHeight="1" x14ac:dyDescent="0.15">
      <c r="A449" s="93"/>
      <c r="B449" s="93"/>
      <c r="C449" s="93"/>
      <c r="D449" s="100"/>
      <c r="E449" s="91"/>
      <c r="F449" s="91"/>
      <c r="G449" s="91"/>
      <c r="H449" s="91"/>
      <c r="I449" s="91"/>
      <c r="J449" s="91"/>
      <c r="K449" s="91"/>
      <c r="L449" s="91"/>
      <c r="M449" s="91"/>
      <c r="N449" s="91"/>
      <c r="O449" s="91"/>
      <c r="P449" s="91"/>
      <c r="Q449" s="91"/>
      <c r="R449" s="91"/>
      <c r="S449" s="91"/>
      <c r="T449" s="91"/>
      <c r="U449" s="91"/>
      <c r="V449" s="91"/>
      <c r="W449" s="91"/>
    </row>
    <row r="450" spans="1:23" ht="15.95" customHeight="1" x14ac:dyDescent="0.15">
      <c r="A450" s="93"/>
      <c r="B450" s="93"/>
      <c r="C450" s="93"/>
      <c r="D450" s="100"/>
      <c r="E450" s="91"/>
      <c r="F450" s="91"/>
      <c r="G450" s="91"/>
      <c r="H450" s="91"/>
      <c r="I450" s="91"/>
      <c r="J450" s="91"/>
      <c r="K450" s="91"/>
      <c r="L450" s="91"/>
      <c r="M450" s="91"/>
      <c r="N450" s="91"/>
      <c r="O450" s="91"/>
      <c r="P450" s="91"/>
      <c r="Q450" s="91"/>
      <c r="R450" s="91"/>
      <c r="S450" s="91"/>
      <c r="T450" s="91"/>
      <c r="U450" s="91"/>
      <c r="V450" s="91"/>
      <c r="W450" s="91"/>
    </row>
    <row r="451" spans="1:23" ht="15.95" customHeight="1" x14ac:dyDescent="0.15">
      <c r="A451" s="93"/>
      <c r="B451" s="93"/>
      <c r="C451" s="93"/>
      <c r="D451" s="100"/>
      <c r="E451" s="91"/>
      <c r="F451" s="91"/>
      <c r="G451" s="91"/>
      <c r="H451" s="91"/>
      <c r="I451" s="91"/>
      <c r="J451" s="91"/>
      <c r="K451" s="91"/>
      <c r="L451" s="91"/>
      <c r="M451" s="91"/>
      <c r="N451" s="91"/>
      <c r="O451" s="91"/>
      <c r="P451" s="91"/>
      <c r="Q451" s="91"/>
      <c r="R451" s="91"/>
      <c r="S451" s="91"/>
      <c r="T451" s="91"/>
      <c r="U451" s="91"/>
      <c r="V451" s="91"/>
      <c r="W451" s="91"/>
    </row>
    <row r="452" spans="1:23" ht="15.95" customHeight="1" x14ac:dyDescent="0.15">
      <c r="A452" s="93"/>
      <c r="B452" s="93"/>
      <c r="C452" s="93"/>
      <c r="D452" s="100"/>
      <c r="E452" s="91"/>
      <c r="F452" s="91"/>
      <c r="G452" s="91"/>
      <c r="H452" s="91"/>
      <c r="I452" s="91"/>
      <c r="J452" s="91"/>
      <c r="K452" s="91"/>
      <c r="L452" s="91"/>
      <c r="M452" s="91"/>
      <c r="N452" s="91"/>
      <c r="O452" s="91"/>
      <c r="P452" s="91"/>
      <c r="Q452" s="91"/>
      <c r="R452" s="91"/>
      <c r="S452" s="91"/>
      <c r="T452" s="91"/>
      <c r="U452" s="91"/>
      <c r="V452" s="91"/>
      <c r="W452" s="91"/>
    </row>
    <row r="453" spans="1:23" ht="15.95" customHeight="1" x14ac:dyDescent="0.15">
      <c r="A453" s="93"/>
      <c r="B453" s="93"/>
      <c r="C453" s="93"/>
      <c r="D453" s="100"/>
      <c r="E453" s="91"/>
      <c r="F453" s="91"/>
      <c r="G453" s="91"/>
      <c r="H453" s="91"/>
      <c r="I453" s="91"/>
      <c r="J453" s="91"/>
      <c r="K453" s="91"/>
      <c r="L453" s="91"/>
      <c r="M453" s="91"/>
      <c r="N453" s="91"/>
      <c r="O453" s="91"/>
      <c r="P453" s="91"/>
      <c r="Q453" s="91"/>
      <c r="R453" s="91"/>
      <c r="S453" s="91"/>
      <c r="T453" s="91"/>
      <c r="U453" s="91"/>
      <c r="V453" s="91"/>
      <c r="W453" s="91"/>
    </row>
    <row r="454" spans="1:23" ht="15.95" customHeight="1" x14ac:dyDescent="0.15">
      <c r="A454" s="93"/>
      <c r="B454" s="93"/>
      <c r="C454" s="93"/>
      <c r="D454" s="100"/>
      <c r="E454" s="91"/>
      <c r="F454" s="91"/>
      <c r="G454" s="91"/>
      <c r="H454" s="91"/>
      <c r="I454" s="91"/>
      <c r="J454" s="91"/>
      <c r="K454" s="91"/>
      <c r="L454" s="91"/>
      <c r="M454" s="91"/>
      <c r="N454" s="91"/>
      <c r="O454" s="91"/>
      <c r="P454" s="91"/>
      <c r="Q454" s="91"/>
      <c r="R454" s="91"/>
      <c r="S454" s="91"/>
      <c r="T454" s="91"/>
      <c r="U454" s="91"/>
      <c r="V454" s="91"/>
      <c r="W454" s="91"/>
    </row>
    <row r="455" spans="1:23" ht="15.95" customHeight="1" x14ac:dyDescent="0.15">
      <c r="A455" s="93"/>
      <c r="B455" s="93"/>
      <c r="C455" s="93"/>
      <c r="D455" s="100"/>
      <c r="E455" s="91"/>
      <c r="F455" s="91"/>
      <c r="G455" s="91"/>
      <c r="H455" s="91"/>
      <c r="I455" s="91"/>
      <c r="J455" s="91"/>
      <c r="K455" s="91"/>
      <c r="L455" s="91"/>
      <c r="M455" s="91"/>
      <c r="N455" s="91"/>
      <c r="O455" s="91"/>
      <c r="P455" s="91"/>
      <c r="Q455" s="91"/>
      <c r="R455" s="91"/>
      <c r="S455" s="91"/>
      <c r="T455" s="91"/>
      <c r="U455" s="91"/>
      <c r="V455" s="91"/>
      <c r="W455" s="91"/>
    </row>
    <row r="456" spans="1:23" ht="15.95" customHeight="1" x14ac:dyDescent="0.15">
      <c r="A456" s="93"/>
      <c r="B456" s="93"/>
      <c r="C456" s="93"/>
      <c r="D456" s="100"/>
      <c r="E456" s="91"/>
      <c r="F456" s="91"/>
      <c r="G456" s="91"/>
      <c r="H456" s="91"/>
      <c r="I456" s="91"/>
      <c r="J456" s="91"/>
      <c r="K456" s="91"/>
      <c r="L456" s="91"/>
      <c r="M456" s="91"/>
      <c r="N456" s="91"/>
      <c r="O456" s="91"/>
      <c r="P456" s="91"/>
      <c r="Q456" s="91"/>
      <c r="R456" s="91"/>
      <c r="S456" s="91"/>
      <c r="T456" s="91"/>
      <c r="U456" s="91"/>
      <c r="V456" s="91"/>
      <c r="W456" s="91"/>
    </row>
    <row r="457" spans="1:23" ht="15.95" customHeight="1" x14ac:dyDescent="0.15">
      <c r="A457" s="93"/>
      <c r="B457" s="93"/>
      <c r="C457" s="93"/>
      <c r="D457" s="100"/>
      <c r="E457" s="91"/>
      <c r="F457" s="91"/>
      <c r="G457" s="91"/>
      <c r="H457" s="91"/>
      <c r="I457" s="91"/>
      <c r="J457" s="91"/>
      <c r="K457" s="91"/>
      <c r="L457" s="91"/>
      <c r="M457" s="91"/>
      <c r="N457" s="91"/>
      <c r="O457" s="91"/>
      <c r="P457" s="91"/>
      <c r="Q457" s="91"/>
      <c r="R457" s="91"/>
      <c r="S457" s="91"/>
      <c r="T457" s="91"/>
      <c r="U457" s="91"/>
      <c r="V457" s="91"/>
      <c r="W457" s="91"/>
    </row>
    <row r="458" spans="1:23" ht="15.95" customHeight="1" x14ac:dyDescent="0.15">
      <c r="A458" s="93"/>
      <c r="B458" s="93"/>
      <c r="C458" s="93"/>
      <c r="D458" s="100"/>
      <c r="E458" s="91"/>
      <c r="F458" s="91"/>
      <c r="G458" s="91"/>
      <c r="H458" s="91"/>
      <c r="I458" s="91"/>
      <c r="J458" s="91"/>
      <c r="K458" s="91"/>
      <c r="L458" s="91"/>
      <c r="M458" s="91"/>
      <c r="N458" s="91"/>
      <c r="O458" s="91"/>
      <c r="P458" s="91"/>
      <c r="Q458" s="91"/>
      <c r="R458" s="91"/>
      <c r="S458" s="91"/>
      <c r="T458" s="91"/>
      <c r="U458" s="91"/>
      <c r="V458" s="91"/>
      <c r="W458" s="91"/>
    </row>
    <row r="459" spans="1:23" ht="15.95" customHeight="1" x14ac:dyDescent="0.15">
      <c r="A459" s="93"/>
      <c r="B459" s="93"/>
      <c r="C459" s="93"/>
      <c r="D459" s="100"/>
      <c r="E459" s="91"/>
      <c r="F459" s="91"/>
      <c r="G459" s="91"/>
      <c r="H459" s="91"/>
      <c r="I459" s="91"/>
      <c r="J459" s="91"/>
      <c r="K459" s="91"/>
      <c r="L459" s="91"/>
      <c r="M459" s="91"/>
      <c r="N459" s="91"/>
      <c r="O459" s="91"/>
      <c r="P459" s="91"/>
      <c r="Q459" s="91"/>
      <c r="R459" s="91"/>
      <c r="S459" s="91"/>
      <c r="T459" s="91"/>
      <c r="U459" s="91"/>
      <c r="V459" s="91"/>
      <c r="W459" s="91"/>
    </row>
    <row r="460" spans="1:23" ht="15.95" customHeight="1" x14ac:dyDescent="0.15">
      <c r="A460" s="93"/>
      <c r="B460" s="93"/>
      <c r="C460" s="93"/>
      <c r="D460" s="100"/>
      <c r="E460" s="91"/>
      <c r="F460" s="91"/>
      <c r="G460" s="91"/>
      <c r="H460" s="91"/>
      <c r="I460" s="91"/>
      <c r="J460" s="91"/>
      <c r="K460" s="91"/>
      <c r="L460" s="91"/>
      <c r="M460" s="91"/>
      <c r="N460" s="91"/>
      <c r="O460" s="91"/>
      <c r="P460" s="91"/>
      <c r="Q460" s="91"/>
      <c r="R460" s="91"/>
      <c r="S460" s="91"/>
      <c r="T460" s="91"/>
      <c r="U460" s="91"/>
      <c r="V460" s="91"/>
      <c r="W460" s="91"/>
    </row>
    <row r="461" spans="1:23" ht="15.95" customHeight="1" x14ac:dyDescent="0.15">
      <c r="A461" s="93"/>
      <c r="B461" s="93"/>
      <c r="C461" s="93"/>
      <c r="D461" s="100"/>
      <c r="E461" s="91"/>
      <c r="F461" s="91"/>
      <c r="G461" s="91"/>
      <c r="H461" s="91"/>
      <c r="I461" s="91"/>
      <c r="J461" s="91"/>
      <c r="K461" s="91"/>
      <c r="L461" s="91"/>
      <c r="M461" s="91"/>
      <c r="N461" s="91"/>
      <c r="O461" s="91"/>
      <c r="P461" s="91"/>
      <c r="Q461" s="91"/>
      <c r="R461" s="91"/>
      <c r="S461" s="91"/>
      <c r="T461" s="91"/>
      <c r="U461" s="91"/>
      <c r="V461" s="91"/>
      <c r="W461" s="91"/>
    </row>
    <row r="462" spans="1:23" ht="15.95" customHeight="1" x14ac:dyDescent="0.15">
      <c r="A462" s="93"/>
      <c r="B462" s="93"/>
      <c r="C462" s="93"/>
      <c r="D462" s="100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</row>
    <row r="463" spans="1:23" ht="15.95" customHeight="1" x14ac:dyDescent="0.15">
      <c r="A463" s="93"/>
      <c r="B463" s="93"/>
      <c r="C463" s="93"/>
      <c r="D463" s="100"/>
      <c r="E463" s="91"/>
      <c r="F463" s="91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</row>
    <row r="464" spans="1:23" ht="15.95" customHeight="1" x14ac:dyDescent="0.15">
      <c r="A464" s="93"/>
      <c r="B464" s="93"/>
      <c r="C464" s="93"/>
      <c r="D464" s="100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</row>
    <row r="465" spans="1:23" ht="15.95" customHeight="1" x14ac:dyDescent="0.15">
      <c r="A465" s="93"/>
      <c r="B465" s="93"/>
      <c r="C465" s="93"/>
      <c r="D465" s="100"/>
      <c r="E465" s="91"/>
      <c r="F465" s="91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</row>
    <row r="466" spans="1:23" ht="15.95" customHeight="1" x14ac:dyDescent="0.15">
      <c r="A466" s="93"/>
      <c r="B466" s="93"/>
      <c r="C466" s="93"/>
      <c r="D466" s="100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</row>
    <row r="467" spans="1:23" ht="15.95" customHeight="1" x14ac:dyDescent="0.15">
      <c r="A467" s="93"/>
      <c r="B467" s="93"/>
      <c r="C467" s="93"/>
      <c r="D467" s="100"/>
      <c r="E467" s="91"/>
      <c r="F467" s="91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</row>
    <row r="468" spans="1:23" ht="15.95" customHeight="1" x14ac:dyDescent="0.15">
      <c r="A468" s="93"/>
      <c r="B468" s="93"/>
      <c r="C468" s="93"/>
      <c r="D468" s="100"/>
      <c r="E468" s="91"/>
      <c r="F468" s="91"/>
      <c r="G468" s="91"/>
      <c r="H468" s="91"/>
      <c r="I468" s="91"/>
      <c r="J468" s="91"/>
      <c r="K468" s="91"/>
      <c r="L468" s="91"/>
      <c r="M468" s="91"/>
      <c r="N468" s="91"/>
      <c r="O468" s="91"/>
      <c r="P468" s="91"/>
      <c r="Q468" s="91"/>
      <c r="R468" s="91"/>
      <c r="S468" s="91"/>
      <c r="T468" s="91"/>
      <c r="U468" s="91"/>
      <c r="V468" s="91"/>
      <c r="W468" s="91"/>
    </row>
    <row r="469" spans="1:23" ht="15.95" customHeight="1" x14ac:dyDescent="0.15">
      <c r="A469" s="93"/>
      <c r="B469" s="93"/>
      <c r="C469" s="93"/>
      <c r="D469" s="100"/>
      <c r="E469" s="91"/>
      <c r="F469" s="91"/>
      <c r="G469" s="91"/>
      <c r="H469" s="91"/>
      <c r="I469" s="91"/>
      <c r="J469" s="91"/>
      <c r="K469" s="91"/>
      <c r="L469" s="91"/>
      <c r="M469" s="91"/>
      <c r="N469" s="91"/>
      <c r="O469" s="91"/>
      <c r="P469" s="91"/>
      <c r="Q469" s="91"/>
      <c r="R469" s="91"/>
      <c r="S469" s="91"/>
      <c r="T469" s="91"/>
      <c r="U469" s="91"/>
      <c r="V469" s="91"/>
      <c r="W469" s="91"/>
    </row>
    <row r="470" spans="1:23" ht="15.95" customHeight="1" x14ac:dyDescent="0.15">
      <c r="A470" s="93"/>
      <c r="B470" s="93"/>
      <c r="C470" s="93"/>
      <c r="D470" s="100"/>
      <c r="E470" s="91"/>
      <c r="F470" s="91"/>
      <c r="G470" s="91"/>
      <c r="H470" s="91"/>
      <c r="I470" s="91"/>
      <c r="J470" s="91"/>
      <c r="K470" s="91"/>
      <c r="L470" s="91"/>
      <c r="M470" s="91"/>
      <c r="N470" s="91"/>
      <c r="O470" s="91"/>
      <c r="P470" s="91"/>
      <c r="Q470" s="91"/>
      <c r="R470" s="91"/>
      <c r="S470" s="91"/>
      <c r="T470" s="91"/>
      <c r="U470" s="91"/>
      <c r="V470" s="91"/>
      <c r="W470" s="91"/>
    </row>
    <row r="471" spans="1:23" ht="15.95" customHeight="1" x14ac:dyDescent="0.15">
      <c r="A471" s="93"/>
      <c r="B471" s="93"/>
      <c r="C471" s="93"/>
      <c r="D471" s="100"/>
      <c r="E471" s="91"/>
      <c r="F471" s="91"/>
      <c r="G471" s="91"/>
      <c r="H471" s="91"/>
      <c r="I471" s="91"/>
      <c r="J471" s="91"/>
      <c r="K471" s="91"/>
      <c r="L471" s="91"/>
      <c r="M471" s="91"/>
      <c r="N471" s="91"/>
      <c r="O471" s="91"/>
      <c r="P471" s="91"/>
      <c r="Q471" s="91"/>
      <c r="R471" s="91"/>
      <c r="S471" s="91"/>
      <c r="T471" s="91"/>
      <c r="U471" s="91"/>
      <c r="V471" s="91"/>
      <c r="W471" s="91"/>
    </row>
    <row r="472" spans="1:23" ht="15.95" customHeight="1" x14ac:dyDescent="0.15">
      <c r="A472" s="93"/>
      <c r="B472" s="93"/>
      <c r="C472" s="93"/>
      <c r="D472" s="100"/>
      <c r="E472" s="91"/>
      <c r="F472" s="91"/>
      <c r="G472" s="91"/>
      <c r="H472" s="91"/>
      <c r="I472" s="91"/>
      <c r="J472" s="91"/>
      <c r="K472" s="91"/>
      <c r="L472" s="91"/>
      <c r="M472" s="91"/>
      <c r="N472" s="91"/>
      <c r="O472" s="91"/>
      <c r="P472" s="91"/>
      <c r="Q472" s="91"/>
      <c r="R472" s="91"/>
      <c r="S472" s="91"/>
      <c r="T472" s="91"/>
      <c r="U472" s="91"/>
      <c r="V472" s="91"/>
      <c r="W472" s="91"/>
    </row>
    <row r="473" spans="1:23" ht="15.95" customHeight="1" x14ac:dyDescent="0.15">
      <c r="A473" s="93"/>
      <c r="B473" s="93"/>
      <c r="C473" s="93"/>
      <c r="D473" s="100"/>
      <c r="E473" s="91"/>
      <c r="F473" s="91"/>
      <c r="G473" s="91"/>
      <c r="H473" s="91"/>
      <c r="I473" s="91"/>
      <c r="J473" s="91"/>
      <c r="K473" s="91"/>
      <c r="L473" s="91"/>
      <c r="M473" s="91"/>
      <c r="N473" s="91"/>
      <c r="O473" s="91"/>
      <c r="P473" s="91"/>
      <c r="Q473" s="91"/>
      <c r="R473" s="91"/>
      <c r="S473" s="91"/>
      <c r="T473" s="91"/>
      <c r="U473" s="91"/>
      <c r="V473" s="91"/>
      <c r="W473" s="91"/>
    </row>
    <row r="474" spans="1:23" ht="15.95" customHeight="1" x14ac:dyDescent="0.15">
      <c r="A474" s="93"/>
      <c r="B474" s="93"/>
      <c r="C474" s="93"/>
      <c r="D474" s="100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91"/>
      <c r="P474" s="91"/>
      <c r="Q474" s="91"/>
      <c r="R474" s="91"/>
      <c r="S474" s="91"/>
      <c r="T474" s="91"/>
      <c r="U474" s="91"/>
      <c r="V474" s="91"/>
      <c r="W474" s="91"/>
    </row>
    <row r="475" spans="1:23" ht="15.95" customHeight="1" x14ac:dyDescent="0.15">
      <c r="A475" s="93"/>
      <c r="B475" s="93"/>
      <c r="C475" s="93"/>
      <c r="D475" s="100"/>
      <c r="E475" s="91"/>
      <c r="F475" s="91"/>
      <c r="G475" s="91"/>
      <c r="H475" s="91"/>
      <c r="I475" s="91"/>
      <c r="J475" s="91"/>
      <c r="K475" s="91"/>
      <c r="L475" s="91"/>
      <c r="M475" s="91"/>
      <c r="N475" s="91"/>
      <c r="O475" s="91"/>
      <c r="P475" s="91"/>
      <c r="Q475" s="91"/>
      <c r="R475" s="91"/>
      <c r="S475" s="91"/>
      <c r="T475" s="91"/>
      <c r="U475" s="91"/>
      <c r="V475" s="91"/>
      <c r="W475" s="91"/>
    </row>
    <row r="476" spans="1:23" ht="15.95" customHeight="1" x14ac:dyDescent="0.15">
      <c r="A476" s="93"/>
      <c r="B476" s="93"/>
      <c r="C476" s="93"/>
      <c r="D476" s="100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91"/>
      <c r="P476" s="91"/>
      <c r="Q476" s="91"/>
      <c r="R476" s="91"/>
      <c r="S476" s="91"/>
      <c r="T476" s="91"/>
      <c r="U476" s="91"/>
      <c r="V476" s="91"/>
      <c r="W476" s="91"/>
    </row>
    <row r="477" spans="1:23" ht="15.95" customHeight="1" x14ac:dyDescent="0.15">
      <c r="A477" s="93"/>
      <c r="B477" s="93"/>
      <c r="C477" s="93"/>
      <c r="D477" s="100"/>
      <c r="E477" s="91"/>
      <c r="F477" s="91"/>
      <c r="G477" s="91"/>
      <c r="H477" s="91"/>
      <c r="I477" s="91"/>
      <c r="J477" s="91"/>
      <c r="K477" s="91"/>
      <c r="L477" s="91"/>
      <c r="M477" s="91"/>
      <c r="N477" s="91"/>
      <c r="O477" s="91"/>
      <c r="P477" s="91"/>
      <c r="Q477" s="91"/>
      <c r="R477" s="91"/>
      <c r="S477" s="91"/>
      <c r="T477" s="91"/>
      <c r="U477" s="91"/>
      <c r="V477" s="91"/>
      <c r="W477" s="91"/>
    </row>
    <row r="478" spans="1:23" ht="15.95" customHeight="1" x14ac:dyDescent="0.15">
      <c r="A478" s="93"/>
      <c r="B478" s="93"/>
      <c r="C478" s="93"/>
      <c r="D478" s="100"/>
      <c r="E478" s="91"/>
      <c r="F478" s="91"/>
      <c r="G478" s="91"/>
      <c r="H478" s="91"/>
      <c r="I478" s="91"/>
      <c r="J478" s="91"/>
      <c r="K478" s="91"/>
      <c r="L478" s="91"/>
      <c r="M478" s="91"/>
      <c r="N478" s="91"/>
      <c r="O478" s="91"/>
      <c r="P478" s="91"/>
      <c r="Q478" s="91"/>
      <c r="R478" s="91"/>
      <c r="S478" s="91"/>
      <c r="T478" s="91"/>
      <c r="U478" s="91"/>
      <c r="V478" s="91"/>
      <c r="W478" s="91"/>
    </row>
    <row r="479" spans="1:23" ht="15.95" customHeight="1" x14ac:dyDescent="0.15">
      <c r="A479" s="93"/>
      <c r="B479" s="93"/>
      <c r="C479" s="93"/>
      <c r="D479" s="100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</row>
    <row r="480" spans="1:23" ht="15.95" customHeight="1" x14ac:dyDescent="0.15">
      <c r="A480" s="93"/>
      <c r="B480" s="93"/>
      <c r="C480" s="93"/>
      <c r="D480" s="100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</row>
    <row r="481" spans="1:23" ht="15.95" customHeight="1" x14ac:dyDescent="0.15">
      <c r="A481" s="93"/>
      <c r="B481" s="93"/>
      <c r="C481" s="93"/>
      <c r="D481" s="100"/>
      <c r="E481" s="91"/>
      <c r="F481" s="91"/>
      <c r="G481" s="91"/>
      <c r="H481" s="91"/>
      <c r="I481" s="91"/>
      <c r="J481" s="91"/>
      <c r="K481" s="91"/>
      <c r="L481" s="91"/>
      <c r="M481" s="91"/>
      <c r="N481" s="91"/>
      <c r="O481" s="91"/>
      <c r="P481" s="91"/>
      <c r="Q481" s="91"/>
      <c r="R481" s="91"/>
      <c r="S481" s="91"/>
      <c r="T481" s="91"/>
      <c r="U481" s="91"/>
      <c r="V481" s="91"/>
      <c r="W481" s="91"/>
    </row>
    <row r="482" spans="1:23" ht="15.95" customHeight="1" x14ac:dyDescent="0.15">
      <c r="A482" s="93"/>
      <c r="B482" s="93"/>
      <c r="C482" s="93"/>
      <c r="D482" s="100"/>
      <c r="E482" s="91"/>
      <c r="F482" s="91"/>
      <c r="G482" s="91"/>
      <c r="H482" s="91"/>
      <c r="I482" s="91"/>
      <c r="J482" s="91"/>
      <c r="K482" s="91"/>
      <c r="L482" s="91"/>
      <c r="M482" s="91"/>
      <c r="N482" s="91"/>
      <c r="O482" s="91"/>
      <c r="P482" s="91"/>
      <c r="Q482" s="91"/>
      <c r="R482" s="91"/>
      <c r="S482" s="91"/>
      <c r="T482" s="91"/>
      <c r="U482" s="91"/>
      <c r="V482" s="91"/>
      <c r="W482" s="91"/>
    </row>
    <row r="483" spans="1:23" ht="15.95" customHeight="1" x14ac:dyDescent="0.15">
      <c r="A483" s="93"/>
      <c r="B483" s="93"/>
      <c r="C483" s="93"/>
      <c r="D483" s="100"/>
      <c r="E483" s="91"/>
      <c r="F483" s="91"/>
      <c r="G483" s="91"/>
      <c r="H483" s="91"/>
      <c r="I483" s="91"/>
      <c r="J483" s="91"/>
      <c r="K483" s="91"/>
      <c r="L483" s="91"/>
      <c r="M483" s="91"/>
      <c r="N483" s="91"/>
      <c r="O483" s="91"/>
      <c r="P483" s="91"/>
      <c r="Q483" s="91"/>
      <c r="R483" s="91"/>
      <c r="S483" s="91"/>
      <c r="T483" s="91"/>
      <c r="U483" s="91"/>
      <c r="V483" s="91"/>
      <c r="W483" s="91"/>
    </row>
    <row r="484" spans="1:23" ht="15.95" customHeight="1" x14ac:dyDescent="0.15">
      <c r="A484" s="93"/>
      <c r="B484" s="93"/>
      <c r="C484" s="93"/>
      <c r="D484" s="100"/>
      <c r="E484" s="91"/>
      <c r="F484" s="91"/>
      <c r="G484" s="91"/>
      <c r="H484" s="91"/>
      <c r="I484" s="91"/>
      <c r="J484" s="91"/>
      <c r="K484" s="91"/>
      <c r="L484" s="91"/>
      <c r="M484" s="91"/>
      <c r="N484" s="91"/>
      <c r="O484" s="91"/>
      <c r="P484" s="91"/>
      <c r="Q484" s="91"/>
      <c r="R484" s="91"/>
      <c r="S484" s="91"/>
      <c r="T484" s="91"/>
      <c r="U484" s="91"/>
      <c r="V484" s="91"/>
      <c r="W484" s="91"/>
    </row>
    <row r="485" spans="1:23" ht="15.95" customHeight="1" x14ac:dyDescent="0.15">
      <c r="A485" s="93"/>
      <c r="B485" s="93"/>
      <c r="C485" s="93"/>
      <c r="D485" s="100"/>
      <c r="E485" s="91"/>
      <c r="F485" s="91"/>
      <c r="G485" s="91"/>
      <c r="H485" s="91"/>
      <c r="I485" s="91"/>
      <c r="J485" s="91"/>
      <c r="K485" s="91"/>
      <c r="L485" s="91"/>
      <c r="M485" s="91"/>
      <c r="N485" s="91"/>
      <c r="O485" s="91"/>
      <c r="P485" s="91"/>
      <c r="Q485" s="91"/>
      <c r="R485" s="91"/>
      <c r="S485" s="91"/>
      <c r="T485" s="91"/>
      <c r="U485" s="91"/>
      <c r="V485" s="91"/>
      <c r="W485" s="91"/>
    </row>
    <row r="486" spans="1:23" ht="15.95" customHeight="1" x14ac:dyDescent="0.15">
      <c r="A486" s="93"/>
      <c r="B486" s="93"/>
      <c r="C486" s="93"/>
      <c r="D486" s="100"/>
      <c r="E486" s="91"/>
      <c r="F486" s="91"/>
      <c r="G486" s="91"/>
      <c r="H486" s="91"/>
      <c r="I486" s="91"/>
      <c r="J486" s="91"/>
      <c r="K486" s="91"/>
      <c r="L486" s="91"/>
      <c r="M486" s="91"/>
      <c r="N486" s="91"/>
      <c r="O486" s="91"/>
      <c r="P486" s="91"/>
      <c r="Q486" s="91"/>
      <c r="R486" s="91"/>
      <c r="S486" s="91"/>
      <c r="T486" s="91"/>
      <c r="U486" s="91"/>
      <c r="V486" s="91"/>
      <c r="W486" s="91"/>
    </row>
    <row r="487" spans="1:23" ht="15.95" customHeight="1" x14ac:dyDescent="0.15">
      <c r="A487" s="93"/>
      <c r="B487" s="93"/>
      <c r="C487" s="93"/>
      <c r="D487" s="100"/>
      <c r="E487" s="91"/>
      <c r="F487" s="91"/>
      <c r="G487" s="91"/>
      <c r="H487" s="91"/>
      <c r="I487" s="91"/>
      <c r="J487" s="91"/>
      <c r="K487" s="91"/>
      <c r="L487" s="91"/>
      <c r="M487" s="91"/>
      <c r="N487" s="91"/>
      <c r="O487" s="91"/>
      <c r="P487" s="91"/>
      <c r="Q487" s="91"/>
      <c r="R487" s="91"/>
      <c r="S487" s="91"/>
      <c r="T487" s="91"/>
      <c r="U487" s="91"/>
      <c r="V487" s="91"/>
      <c r="W487" s="91"/>
    </row>
    <row r="488" spans="1:23" ht="15.95" customHeight="1" x14ac:dyDescent="0.15">
      <c r="A488" s="93"/>
      <c r="B488" s="93"/>
      <c r="C488" s="93"/>
      <c r="D488" s="100"/>
      <c r="E488" s="91"/>
      <c r="F488" s="91"/>
      <c r="G488" s="91"/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91"/>
      <c r="S488" s="91"/>
      <c r="T488" s="91"/>
      <c r="U488" s="91"/>
      <c r="V488" s="91"/>
      <c r="W488" s="91"/>
    </row>
    <row r="489" spans="1:23" ht="15.95" customHeight="1" x14ac:dyDescent="0.15">
      <c r="A489" s="93"/>
      <c r="B489" s="93"/>
      <c r="C489" s="93"/>
      <c r="D489" s="100"/>
      <c r="E489" s="91"/>
      <c r="F489" s="91"/>
      <c r="G489" s="91"/>
      <c r="H489" s="91"/>
      <c r="I489" s="91"/>
      <c r="J489" s="91"/>
      <c r="K489" s="91"/>
      <c r="L489" s="91"/>
      <c r="M489" s="91"/>
      <c r="N489" s="91"/>
      <c r="O489" s="91"/>
      <c r="P489" s="91"/>
      <c r="Q489" s="91"/>
      <c r="R489" s="91"/>
      <c r="S489" s="91"/>
      <c r="T489" s="91"/>
      <c r="U489" s="91"/>
      <c r="V489" s="91"/>
      <c r="W489" s="91"/>
    </row>
    <row r="490" spans="1:23" ht="15.95" customHeight="1" x14ac:dyDescent="0.15">
      <c r="A490" s="93"/>
      <c r="B490" s="93"/>
      <c r="C490" s="93"/>
      <c r="D490" s="100"/>
      <c r="E490" s="91"/>
      <c r="F490" s="91"/>
      <c r="G490" s="91"/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91"/>
      <c r="S490" s="91"/>
      <c r="T490" s="91"/>
      <c r="U490" s="91"/>
      <c r="V490" s="91"/>
      <c r="W490" s="91"/>
    </row>
    <row r="491" spans="1:23" ht="15.95" customHeight="1" x14ac:dyDescent="0.15">
      <c r="A491" s="93"/>
      <c r="B491" s="93"/>
      <c r="C491" s="93"/>
      <c r="D491" s="100"/>
      <c r="E491" s="91"/>
      <c r="F491" s="91"/>
      <c r="G491" s="91"/>
      <c r="H491" s="91"/>
      <c r="I491" s="91"/>
      <c r="J491" s="91"/>
      <c r="K491" s="91"/>
      <c r="L491" s="91"/>
      <c r="M491" s="91"/>
      <c r="N491" s="91"/>
      <c r="O491" s="91"/>
      <c r="P491" s="91"/>
      <c r="Q491" s="91"/>
      <c r="R491" s="91"/>
      <c r="S491" s="91"/>
      <c r="T491" s="91"/>
      <c r="U491" s="91"/>
      <c r="V491" s="91"/>
      <c r="W491" s="91"/>
    </row>
    <row r="492" spans="1:23" ht="15.95" customHeight="1" x14ac:dyDescent="0.15">
      <c r="A492" s="93"/>
      <c r="B492" s="93"/>
      <c r="C492" s="93"/>
      <c r="D492" s="100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</row>
    <row r="493" spans="1:23" ht="15.95" customHeight="1" x14ac:dyDescent="0.15">
      <c r="A493" s="93"/>
      <c r="B493" s="93"/>
      <c r="C493" s="93"/>
      <c r="D493" s="100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</row>
    <row r="494" spans="1:23" ht="15.95" customHeight="1" x14ac:dyDescent="0.15">
      <c r="A494" s="93"/>
      <c r="B494" s="93"/>
      <c r="C494" s="93"/>
      <c r="D494" s="100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</row>
    <row r="495" spans="1:23" ht="15.95" customHeight="1" x14ac:dyDescent="0.15">
      <c r="A495" s="93"/>
      <c r="B495" s="93"/>
      <c r="C495" s="93"/>
      <c r="D495" s="100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</row>
    <row r="496" spans="1:23" ht="15.95" customHeight="1" x14ac:dyDescent="0.15">
      <c r="A496" s="93"/>
      <c r="B496" s="93"/>
      <c r="C496" s="93"/>
      <c r="D496" s="100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</row>
    <row r="497" spans="1:23" ht="15.95" customHeight="1" x14ac:dyDescent="0.15">
      <c r="A497" s="93"/>
      <c r="B497" s="93"/>
      <c r="C497" s="93"/>
      <c r="D497" s="100"/>
      <c r="E497" s="91"/>
      <c r="F497" s="91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</row>
    <row r="498" spans="1:23" ht="15.95" customHeight="1" x14ac:dyDescent="0.15">
      <c r="A498" s="93"/>
      <c r="B498" s="93"/>
      <c r="C498" s="93"/>
      <c r="D498" s="100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</row>
    <row r="499" spans="1:23" ht="15.95" customHeight="1" x14ac:dyDescent="0.15">
      <c r="A499" s="93"/>
      <c r="B499" s="93"/>
      <c r="C499" s="93"/>
      <c r="D499" s="100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</row>
    <row r="500" spans="1:23" ht="15.95" customHeight="1" x14ac:dyDescent="0.15">
      <c r="A500" s="93"/>
      <c r="B500" s="93"/>
      <c r="C500" s="93"/>
      <c r="D500" s="100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</row>
    <row r="501" spans="1:23" ht="15.95" customHeight="1" x14ac:dyDescent="0.15">
      <c r="A501" s="93"/>
      <c r="B501" s="93"/>
      <c r="C501" s="93"/>
      <c r="D501" s="100"/>
      <c r="E501" s="91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</row>
    <row r="502" spans="1:23" ht="15.95" customHeight="1" x14ac:dyDescent="0.15">
      <c r="A502" s="93"/>
      <c r="B502" s="93"/>
      <c r="C502" s="93"/>
      <c r="D502" s="100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</row>
    <row r="503" spans="1:23" ht="15.95" customHeight="1" x14ac:dyDescent="0.15">
      <c r="A503" s="93"/>
      <c r="B503" s="93"/>
      <c r="C503" s="93"/>
      <c r="D503" s="100"/>
      <c r="E503" s="91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</row>
    <row r="504" spans="1:23" ht="15.95" customHeight="1" x14ac:dyDescent="0.15">
      <c r="A504" s="93"/>
      <c r="B504" s="93"/>
      <c r="C504" s="93"/>
      <c r="D504" s="100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</row>
    <row r="505" spans="1:23" ht="15.95" customHeight="1" x14ac:dyDescent="0.15">
      <c r="A505" s="93"/>
      <c r="B505" s="93"/>
      <c r="C505" s="93"/>
      <c r="D505" s="100"/>
      <c r="E505" s="91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</row>
    <row r="506" spans="1:23" ht="15.95" customHeight="1" x14ac:dyDescent="0.15">
      <c r="A506" s="93"/>
      <c r="B506" s="93"/>
      <c r="C506" s="93"/>
      <c r="D506" s="100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</row>
    <row r="507" spans="1:23" ht="15.95" customHeight="1" x14ac:dyDescent="0.15">
      <c r="A507" s="93"/>
      <c r="B507" s="93"/>
      <c r="C507" s="93"/>
      <c r="D507" s="100"/>
      <c r="E507" s="91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</row>
    <row r="508" spans="1:23" ht="15.95" customHeight="1" x14ac:dyDescent="0.15">
      <c r="A508" s="93"/>
      <c r="B508" s="93"/>
      <c r="C508" s="93"/>
      <c r="D508" s="100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</row>
    <row r="509" spans="1:23" ht="15.95" customHeight="1" x14ac:dyDescent="0.15">
      <c r="A509" s="93"/>
      <c r="B509" s="93"/>
      <c r="C509" s="93"/>
      <c r="D509" s="100"/>
      <c r="E509" s="91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</row>
    <row r="510" spans="1:23" ht="15.95" customHeight="1" x14ac:dyDescent="0.15">
      <c r="A510" s="93"/>
      <c r="B510" s="93"/>
      <c r="C510" s="93"/>
      <c r="D510" s="100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</row>
    <row r="511" spans="1:23" ht="15.95" customHeight="1" x14ac:dyDescent="0.15">
      <c r="A511" s="93"/>
      <c r="B511" s="93"/>
      <c r="C511" s="93"/>
      <c r="D511" s="100"/>
      <c r="E511" s="91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</row>
    <row r="512" spans="1:23" ht="15.95" customHeight="1" x14ac:dyDescent="0.15">
      <c r="A512" s="93"/>
      <c r="B512" s="93"/>
      <c r="C512" s="93"/>
      <c r="D512" s="100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</row>
    <row r="513" spans="1:23" ht="15.95" customHeight="1" x14ac:dyDescent="0.15">
      <c r="A513" s="93"/>
      <c r="B513" s="93"/>
      <c r="C513" s="93"/>
      <c r="D513" s="100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</row>
    <row r="514" spans="1:23" ht="15.95" customHeight="1" x14ac:dyDescent="0.15">
      <c r="A514" s="93"/>
      <c r="B514" s="93"/>
      <c r="C514" s="93"/>
      <c r="D514" s="100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</row>
    <row r="515" spans="1:23" ht="15.95" customHeight="1" x14ac:dyDescent="0.15">
      <c r="A515" s="93"/>
      <c r="B515" s="93"/>
      <c r="C515" s="93"/>
      <c r="D515" s="100"/>
      <c r="E515" s="91"/>
      <c r="F515" s="91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</row>
    <row r="516" spans="1:23" ht="15.95" customHeight="1" x14ac:dyDescent="0.15">
      <c r="A516" s="93"/>
      <c r="B516" s="93"/>
      <c r="C516" s="93"/>
      <c r="D516" s="100"/>
      <c r="E516" s="91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</row>
    <row r="517" spans="1:23" ht="15.95" customHeight="1" x14ac:dyDescent="0.15">
      <c r="A517" s="93"/>
      <c r="B517" s="93"/>
      <c r="C517" s="93"/>
      <c r="D517" s="100"/>
      <c r="E517" s="91"/>
      <c r="F517" s="91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</row>
    <row r="518" spans="1:23" ht="15.95" customHeight="1" x14ac:dyDescent="0.15">
      <c r="A518" s="93"/>
      <c r="B518" s="93"/>
      <c r="C518" s="93"/>
      <c r="D518" s="100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</row>
    <row r="519" spans="1:23" ht="15.95" customHeight="1" x14ac:dyDescent="0.15">
      <c r="A519" s="93"/>
      <c r="B519" s="93"/>
      <c r="C519" s="93"/>
      <c r="D519" s="100"/>
      <c r="E519" s="91"/>
      <c r="F519" s="91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</row>
    <row r="520" spans="1:23" ht="15.95" customHeight="1" x14ac:dyDescent="0.15">
      <c r="A520" s="93"/>
      <c r="B520" s="93"/>
      <c r="C520" s="93"/>
      <c r="D520" s="100"/>
      <c r="E520" s="91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</row>
    <row r="521" spans="1:23" ht="15.95" customHeight="1" x14ac:dyDescent="0.15">
      <c r="A521" s="93"/>
      <c r="B521" s="93"/>
      <c r="C521" s="93"/>
      <c r="D521" s="100"/>
      <c r="E521" s="91"/>
      <c r="F521" s="91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</row>
    <row r="522" spans="1:23" ht="15.95" customHeight="1" x14ac:dyDescent="0.15">
      <c r="A522" s="93"/>
      <c r="B522" s="93"/>
      <c r="C522" s="93"/>
      <c r="D522" s="100"/>
      <c r="E522" s="91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</row>
    <row r="523" spans="1:23" ht="15.95" customHeight="1" x14ac:dyDescent="0.15">
      <c r="A523" s="93"/>
      <c r="B523" s="93"/>
      <c r="C523" s="93"/>
      <c r="D523" s="100"/>
      <c r="E523" s="91"/>
      <c r="F523" s="91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</row>
    <row r="524" spans="1:23" ht="15.95" customHeight="1" x14ac:dyDescent="0.15">
      <c r="A524" s="93"/>
      <c r="B524" s="93"/>
      <c r="C524" s="93"/>
      <c r="D524" s="100"/>
      <c r="E524" s="91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</row>
    <row r="525" spans="1:23" ht="15.95" customHeight="1" x14ac:dyDescent="0.15">
      <c r="A525" s="93"/>
      <c r="B525" s="93"/>
      <c r="C525" s="93"/>
      <c r="D525" s="100"/>
      <c r="E525" s="91"/>
      <c r="F525" s="91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</row>
    <row r="526" spans="1:23" ht="15.95" customHeight="1" x14ac:dyDescent="0.15">
      <c r="A526" s="93"/>
      <c r="B526" s="93"/>
      <c r="C526" s="93"/>
      <c r="D526" s="100"/>
      <c r="E526" s="91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</row>
    <row r="527" spans="1:23" ht="15.95" customHeight="1" x14ac:dyDescent="0.15">
      <c r="A527" s="93"/>
      <c r="B527" s="93"/>
      <c r="C527" s="93"/>
      <c r="D527" s="100"/>
      <c r="E527" s="91"/>
      <c r="F527" s="91"/>
      <c r="G527" s="91"/>
      <c r="H527" s="91"/>
      <c r="I527" s="91"/>
      <c r="J527" s="91"/>
      <c r="K527" s="91"/>
      <c r="L527" s="91"/>
      <c r="M527" s="91"/>
      <c r="N527" s="91"/>
      <c r="O527" s="91"/>
      <c r="P527" s="91"/>
      <c r="Q527" s="91"/>
      <c r="R527" s="91"/>
      <c r="S527" s="91"/>
      <c r="T527" s="91"/>
      <c r="U527" s="91"/>
      <c r="V527" s="91"/>
      <c r="W527" s="91"/>
    </row>
    <row r="528" spans="1:23" ht="15.95" customHeight="1" x14ac:dyDescent="0.15">
      <c r="A528" s="93"/>
      <c r="B528" s="93"/>
      <c r="C528" s="93"/>
      <c r="D528" s="100"/>
      <c r="E528" s="91"/>
      <c r="F528" s="91"/>
      <c r="G528" s="91"/>
      <c r="H528" s="91"/>
      <c r="I528" s="91"/>
      <c r="J528" s="91"/>
      <c r="K528" s="91"/>
      <c r="L528" s="91"/>
      <c r="M528" s="91"/>
      <c r="N528" s="91"/>
      <c r="O528" s="91"/>
      <c r="P528" s="91"/>
      <c r="Q528" s="91"/>
      <c r="R528" s="91"/>
      <c r="S528" s="91"/>
      <c r="T528" s="91"/>
      <c r="U528" s="91"/>
      <c r="V528" s="91"/>
      <c r="W528" s="91"/>
    </row>
    <row r="529" spans="1:23" ht="15.95" customHeight="1" x14ac:dyDescent="0.15">
      <c r="A529" s="93"/>
      <c r="B529" s="93"/>
      <c r="C529" s="93"/>
      <c r="D529" s="100"/>
      <c r="E529" s="91"/>
      <c r="F529" s="91"/>
      <c r="G529" s="91"/>
      <c r="H529" s="91"/>
      <c r="I529" s="91"/>
      <c r="J529" s="91"/>
      <c r="K529" s="91"/>
      <c r="L529" s="91"/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</row>
    <row r="530" spans="1:23" ht="15.95" customHeight="1" x14ac:dyDescent="0.15">
      <c r="A530" s="93"/>
      <c r="B530" s="93"/>
      <c r="C530" s="93"/>
      <c r="D530" s="100"/>
      <c r="E530" s="91"/>
      <c r="F530" s="91"/>
      <c r="G530" s="91"/>
      <c r="H530" s="91"/>
      <c r="I530" s="91"/>
      <c r="J530" s="91"/>
      <c r="K530" s="91"/>
      <c r="L530" s="91"/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</row>
    <row r="531" spans="1:23" ht="15.95" customHeight="1" x14ac:dyDescent="0.15">
      <c r="A531" s="93"/>
      <c r="B531" s="93"/>
      <c r="C531" s="93"/>
      <c r="D531" s="100"/>
      <c r="E531" s="91"/>
      <c r="F531" s="91"/>
      <c r="G531" s="91"/>
      <c r="H531" s="91"/>
      <c r="I531" s="91"/>
      <c r="J531" s="91"/>
      <c r="K531" s="91"/>
      <c r="L531" s="91"/>
      <c r="M531" s="91"/>
      <c r="N531" s="91"/>
      <c r="O531" s="91"/>
      <c r="P531" s="91"/>
      <c r="Q531" s="91"/>
      <c r="R531" s="91"/>
      <c r="S531" s="91"/>
      <c r="T531" s="91"/>
      <c r="U531" s="91"/>
      <c r="V531" s="91"/>
      <c r="W531" s="91"/>
    </row>
    <row r="532" spans="1:23" ht="15.95" customHeight="1" x14ac:dyDescent="0.15">
      <c r="A532" s="93"/>
      <c r="B532" s="93"/>
      <c r="C532" s="93"/>
      <c r="D532" s="100"/>
      <c r="E532" s="91"/>
      <c r="F532" s="91"/>
      <c r="G532" s="91"/>
      <c r="H532" s="91"/>
      <c r="I532" s="91"/>
      <c r="J532" s="91"/>
      <c r="K532" s="91"/>
      <c r="L532" s="91"/>
      <c r="M532" s="91"/>
      <c r="N532" s="91"/>
      <c r="O532" s="91"/>
      <c r="P532" s="91"/>
      <c r="Q532" s="91"/>
      <c r="R532" s="91"/>
      <c r="S532" s="91"/>
      <c r="T532" s="91"/>
      <c r="U532" s="91"/>
      <c r="V532" s="91"/>
      <c r="W532" s="91"/>
    </row>
    <row r="533" spans="1:23" ht="15.95" customHeight="1" x14ac:dyDescent="0.15">
      <c r="A533" s="93"/>
      <c r="B533" s="93"/>
      <c r="C533" s="93"/>
      <c r="D533" s="100"/>
      <c r="E533" s="91"/>
      <c r="F533" s="91"/>
      <c r="G533" s="91"/>
      <c r="H533" s="91"/>
      <c r="I533" s="91"/>
      <c r="J533" s="91"/>
      <c r="K533" s="91"/>
      <c r="L533" s="91"/>
      <c r="M533" s="91"/>
      <c r="N533" s="91"/>
      <c r="O533" s="91"/>
      <c r="P533" s="91"/>
      <c r="Q533" s="91"/>
      <c r="R533" s="91"/>
      <c r="S533" s="91"/>
      <c r="T533" s="91"/>
      <c r="U533" s="91"/>
      <c r="V533" s="91"/>
      <c r="W533" s="91"/>
    </row>
    <row r="534" spans="1:23" ht="15.95" customHeight="1" x14ac:dyDescent="0.15">
      <c r="A534" s="93"/>
      <c r="B534" s="93"/>
      <c r="C534" s="93"/>
      <c r="D534" s="100"/>
      <c r="E534" s="91"/>
      <c r="F534" s="91"/>
      <c r="G534" s="91"/>
      <c r="H534" s="91"/>
      <c r="I534" s="91"/>
      <c r="J534" s="91"/>
      <c r="K534" s="91"/>
      <c r="L534" s="91"/>
      <c r="M534" s="91"/>
      <c r="N534" s="91"/>
      <c r="O534" s="91"/>
      <c r="P534" s="91"/>
      <c r="Q534" s="91"/>
      <c r="R534" s="91"/>
      <c r="S534" s="91"/>
      <c r="T534" s="91"/>
      <c r="U534" s="91"/>
      <c r="V534" s="91"/>
      <c r="W534" s="91"/>
    </row>
    <row r="535" spans="1:23" ht="15.95" customHeight="1" x14ac:dyDescent="0.15">
      <c r="A535" s="93"/>
      <c r="B535" s="93"/>
      <c r="C535" s="93"/>
      <c r="D535" s="100"/>
      <c r="E535" s="91"/>
      <c r="F535" s="91"/>
      <c r="G535" s="91"/>
      <c r="H535" s="91"/>
      <c r="I535" s="91"/>
      <c r="J535" s="91"/>
      <c r="K535" s="91"/>
      <c r="L535" s="91"/>
      <c r="M535" s="91"/>
      <c r="N535" s="91"/>
      <c r="O535" s="91"/>
      <c r="P535" s="91"/>
      <c r="Q535" s="91"/>
      <c r="R535" s="91"/>
      <c r="S535" s="91"/>
      <c r="T535" s="91"/>
      <c r="U535" s="91"/>
      <c r="V535" s="91"/>
      <c r="W535" s="91"/>
    </row>
    <row r="536" spans="1:23" ht="15.95" customHeight="1" x14ac:dyDescent="0.15">
      <c r="A536" s="93"/>
      <c r="B536" s="93"/>
      <c r="C536" s="93"/>
      <c r="D536" s="100"/>
      <c r="E536" s="91"/>
      <c r="F536" s="91"/>
      <c r="G536" s="91"/>
      <c r="H536" s="91"/>
      <c r="I536" s="91"/>
      <c r="J536" s="91"/>
      <c r="K536" s="91"/>
      <c r="L536" s="91"/>
      <c r="M536" s="91"/>
      <c r="N536" s="91"/>
      <c r="O536" s="91"/>
      <c r="P536" s="91"/>
      <c r="Q536" s="91"/>
      <c r="R536" s="91"/>
      <c r="S536" s="91"/>
      <c r="T536" s="91"/>
      <c r="U536" s="91"/>
      <c r="V536" s="91"/>
      <c r="W536" s="91"/>
    </row>
    <row r="537" spans="1:23" ht="15.95" customHeight="1" x14ac:dyDescent="0.15">
      <c r="A537" s="93"/>
      <c r="B537" s="93"/>
      <c r="C537" s="93"/>
      <c r="D537" s="100"/>
      <c r="E537" s="91"/>
      <c r="F537" s="91"/>
      <c r="G537" s="91"/>
      <c r="H537" s="91"/>
      <c r="I537" s="91"/>
      <c r="J537" s="91"/>
      <c r="K537" s="91"/>
      <c r="L537" s="91"/>
      <c r="M537" s="91"/>
      <c r="N537" s="91"/>
      <c r="O537" s="91"/>
      <c r="P537" s="91"/>
      <c r="Q537" s="91"/>
      <c r="R537" s="91"/>
      <c r="S537" s="91"/>
      <c r="T537" s="91"/>
      <c r="U537" s="91"/>
      <c r="V537" s="91"/>
      <c r="W537" s="91"/>
    </row>
    <row r="538" spans="1:23" ht="15.95" customHeight="1" x14ac:dyDescent="0.15">
      <c r="A538" s="93"/>
      <c r="B538" s="93"/>
      <c r="C538" s="93"/>
      <c r="D538" s="100"/>
      <c r="E538" s="91"/>
      <c r="F538" s="91"/>
      <c r="G538" s="91"/>
      <c r="H538" s="91"/>
      <c r="I538" s="91"/>
      <c r="J538" s="91"/>
      <c r="K538" s="91"/>
      <c r="L538" s="91"/>
      <c r="M538" s="91"/>
      <c r="N538" s="91"/>
      <c r="O538" s="91"/>
      <c r="P538" s="91"/>
      <c r="Q538" s="91"/>
      <c r="R538" s="91"/>
      <c r="S538" s="91"/>
      <c r="T538" s="91"/>
      <c r="U538" s="91"/>
      <c r="V538" s="91"/>
      <c r="W538" s="91"/>
    </row>
    <row r="539" spans="1:23" ht="15.95" customHeight="1" x14ac:dyDescent="0.15">
      <c r="A539" s="93"/>
      <c r="B539" s="93"/>
      <c r="C539" s="93"/>
      <c r="D539" s="100"/>
      <c r="E539" s="91"/>
      <c r="F539" s="91"/>
      <c r="G539" s="91"/>
      <c r="H539" s="91"/>
      <c r="I539" s="91"/>
      <c r="J539" s="91"/>
      <c r="K539" s="91"/>
      <c r="L539" s="91"/>
      <c r="M539" s="91"/>
      <c r="N539" s="91"/>
      <c r="O539" s="91"/>
      <c r="P539" s="91"/>
      <c r="Q539" s="91"/>
      <c r="R539" s="91"/>
      <c r="S539" s="91"/>
      <c r="T539" s="91"/>
      <c r="U539" s="91"/>
      <c r="V539" s="91"/>
      <c r="W539" s="91"/>
    </row>
    <row r="540" spans="1:23" ht="15.95" customHeight="1" x14ac:dyDescent="0.15">
      <c r="A540" s="93"/>
      <c r="B540" s="93"/>
      <c r="C540" s="93"/>
      <c r="D540" s="100"/>
      <c r="E540" s="91"/>
      <c r="F540" s="91"/>
      <c r="G540" s="91"/>
      <c r="H540" s="91"/>
      <c r="I540" s="91"/>
      <c r="J540" s="91"/>
      <c r="K540" s="91"/>
      <c r="L540" s="91"/>
      <c r="M540" s="91"/>
      <c r="N540" s="91"/>
      <c r="O540" s="91"/>
      <c r="P540" s="91"/>
      <c r="Q540" s="91"/>
      <c r="R540" s="91"/>
      <c r="S540" s="91"/>
      <c r="T540" s="91"/>
      <c r="U540" s="91"/>
      <c r="V540" s="91"/>
      <c r="W540" s="91"/>
    </row>
    <row r="541" spans="1:23" ht="15.95" customHeight="1" x14ac:dyDescent="0.15">
      <c r="A541" s="93"/>
      <c r="B541" s="93"/>
      <c r="C541" s="93"/>
      <c r="D541" s="100"/>
      <c r="E541" s="91"/>
      <c r="F541" s="91"/>
      <c r="G541" s="91"/>
      <c r="H541" s="91"/>
      <c r="I541" s="91"/>
      <c r="J541" s="91"/>
      <c r="K541" s="91"/>
      <c r="L541" s="91"/>
      <c r="M541" s="91"/>
      <c r="N541" s="91"/>
      <c r="O541" s="91"/>
      <c r="P541" s="91"/>
      <c r="Q541" s="91"/>
      <c r="R541" s="91"/>
      <c r="S541" s="91"/>
      <c r="T541" s="91"/>
      <c r="U541" s="91"/>
      <c r="V541" s="91"/>
      <c r="W541" s="91"/>
    </row>
    <row r="542" spans="1:23" ht="15.95" customHeight="1" x14ac:dyDescent="0.15">
      <c r="A542" s="93"/>
      <c r="B542" s="93"/>
      <c r="C542" s="93"/>
      <c r="D542" s="100"/>
      <c r="E542" s="91"/>
      <c r="F542" s="91"/>
      <c r="G542" s="91"/>
      <c r="H542" s="91"/>
      <c r="I542" s="91"/>
      <c r="J542" s="91"/>
      <c r="K542" s="91"/>
      <c r="L542" s="91"/>
      <c r="M542" s="91"/>
      <c r="N542" s="91"/>
      <c r="O542" s="91"/>
      <c r="P542" s="91"/>
      <c r="Q542" s="91"/>
      <c r="R542" s="91"/>
      <c r="S542" s="91"/>
      <c r="T542" s="91"/>
      <c r="U542" s="91"/>
      <c r="V542" s="91"/>
      <c r="W542" s="91"/>
    </row>
    <row r="543" spans="1:23" ht="15.95" customHeight="1" x14ac:dyDescent="0.15">
      <c r="A543" s="93"/>
      <c r="B543" s="93"/>
      <c r="C543" s="93"/>
      <c r="D543" s="100"/>
      <c r="E543" s="91"/>
      <c r="F543" s="91"/>
      <c r="G543" s="91"/>
      <c r="H543" s="91"/>
      <c r="I543" s="91"/>
      <c r="J543" s="91"/>
      <c r="K543" s="91"/>
      <c r="L543" s="91"/>
      <c r="M543" s="91"/>
      <c r="N543" s="91"/>
      <c r="O543" s="91"/>
      <c r="P543" s="91"/>
      <c r="Q543" s="91"/>
      <c r="R543" s="91"/>
      <c r="S543" s="91"/>
      <c r="T543" s="91"/>
      <c r="U543" s="91"/>
      <c r="V543" s="91"/>
      <c r="W543" s="91"/>
    </row>
    <row r="544" spans="1:23" ht="15.95" customHeight="1" x14ac:dyDescent="0.15">
      <c r="A544" s="93"/>
      <c r="B544" s="93"/>
      <c r="C544" s="93"/>
      <c r="D544" s="100"/>
      <c r="E544" s="91"/>
      <c r="F544" s="91"/>
      <c r="G544" s="91"/>
      <c r="H544" s="91"/>
      <c r="I544" s="91"/>
      <c r="J544" s="91"/>
      <c r="K544" s="91"/>
      <c r="L544" s="91"/>
      <c r="M544" s="91"/>
      <c r="N544" s="91"/>
      <c r="O544" s="91"/>
      <c r="P544" s="91"/>
      <c r="Q544" s="91"/>
      <c r="R544" s="91"/>
      <c r="S544" s="91"/>
      <c r="T544" s="91"/>
      <c r="U544" s="91"/>
      <c r="V544" s="91"/>
      <c r="W544" s="91"/>
    </row>
    <row r="545" spans="1:23" ht="15.95" customHeight="1" x14ac:dyDescent="0.15">
      <c r="A545" s="93"/>
      <c r="B545" s="93"/>
      <c r="C545" s="93"/>
      <c r="D545" s="100"/>
      <c r="E545" s="91"/>
      <c r="F545" s="91"/>
      <c r="G545" s="91"/>
      <c r="H545" s="91"/>
      <c r="I545" s="91"/>
      <c r="J545" s="91"/>
      <c r="K545" s="91"/>
      <c r="L545" s="91"/>
      <c r="M545" s="91"/>
      <c r="N545" s="91"/>
      <c r="O545" s="91"/>
      <c r="P545" s="91"/>
      <c r="Q545" s="91"/>
      <c r="R545" s="91"/>
      <c r="S545" s="91"/>
      <c r="T545" s="91"/>
      <c r="U545" s="91"/>
      <c r="V545" s="91"/>
      <c r="W545" s="91"/>
    </row>
    <row r="546" spans="1:23" ht="15.95" customHeight="1" x14ac:dyDescent="0.15">
      <c r="A546" s="93"/>
      <c r="B546" s="93"/>
      <c r="C546" s="93"/>
      <c r="D546" s="100"/>
      <c r="E546" s="91"/>
      <c r="F546" s="91"/>
      <c r="G546" s="91"/>
      <c r="H546" s="91"/>
      <c r="I546" s="91"/>
      <c r="J546" s="91"/>
      <c r="K546" s="91"/>
      <c r="L546" s="91"/>
      <c r="M546" s="91"/>
      <c r="N546" s="91"/>
      <c r="O546" s="91"/>
      <c r="P546" s="91"/>
      <c r="Q546" s="91"/>
      <c r="R546" s="91"/>
      <c r="S546" s="91"/>
      <c r="T546" s="91"/>
      <c r="U546" s="91"/>
      <c r="V546" s="91"/>
      <c r="W546" s="91"/>
    </row>
    <row r="547" spans="1:23" ht="15.95" customHeight="1" x14ac:dyDescent="0.15">
      <c r="A547" s="93"/>
      <c r="B547" s="93"/>
      <c r="C547" s="93"/>
      <c r="D547" s="100"/>
      <c r="E547" s="91"/>
      <c r="F547" s="91"/>
      <c r="G547" s="91"/>
      <c r="H547" s="91"/>
      <c r="I547" s="91"/>
      <c r="J547" s="91"/>
      <c r="K547" s="91"/>
      <c r="L547" s="91"/>
      <c r="M547" s="91"/>
      <c r="N547" s="91"/>
      <c r="O547" s="91"/>
      <c r="P547" s="91"/>
      <c r="Q547" s="91"/>
      <c r="R547" s="91"/>
      <c r="S547" s="91"/>
      <c r="T547" s="91"/>
      <c r="U547" s="91"/>
      <c r="V547" s="91"/>
      <c r="W547" s="91"/>
    </row>
    <row r="548" spans="1:23" ht="15.95" customHeight="1" x14ac:dyDescent="0.15">
      <c r="A548" s="93"/>
      <c r="B548" s="93"/>
      <c r="C548" s="93"/>
      <c r="D548" s="100"/>
      <c r="E548" s="91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</row>
    <row r="549" spans="1:23" ht="15.95" customHeight="1" x14ac:dyDescent="0.15">
      <c r="A549" s="93"/>
      <c r="B549" s="93"/>
      <c r="C549" s="93"/>
      <c r="D549" s="100"/>
      <c r="E549" s="91"/>
      <c r="F549" s="91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</row>
    <row r="550" spans="1:23" ht="15.95" customHeight="1" x14ac:dyDescent="0.15">
      <c r="A550" s="93"/>
      <c r="B550" s="93"/>
      <c r="C550" s="93"/>
      <c r="D550" s="100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</row>
    <row r="551" spans="1:23" ht="15.95" customHeight="1" x14ac:dyDescent="0.15">
      <c r="A551" s="93"/>
      <c r="B551" s="93"/>
      <c r="C551" s="93"/>
      <c r="D551" s="100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</row>
    <row r="552" spans="1:23" ht="15.95" customHeight="1" x14ac:dyDescent="0.15">
      <c r="A552" s="93"/>
      <c r="B552" s="93"/>
      <c r="C552" s="93"/>
      <c r="D552" s="100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</row>
    <row r="553" spans="1:23" ht="15.95" customHeight="1" x14ac:dyDescent="0.15">
      <c r="A553" s="93"/>
      <c r="B553" s="93"/>
      <c r="C553" s="93"/>
      <c r="D553" s="100"/>
      <c r="E553" s="91"/>
      <c r="F553" s="91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</row>
    <row r="554" spans="1:23" ht="15.95" customHeight="1" x14ac:dyDescent="0.15">
      <c r="A554" s="93"/>
      <c r="B554" s="93"/>
      <c r="C554" s="93"/>
      <c r="D554" s="100"/>
      <c r="E554" s="91"/>
      <c r="F554" s="91"/>
      <c r="G554" s="91"/>
      <c r="H554" s="91"/>
      <c r="I554" s="91"/>
      <c r="J554" s="91"/>
      <c r="K554" s="91"/>
      <c r="L554" s="91"/>
      <c r="M554" s="91"/>
      <c r="N554" s="91"/>
      <c r="O554" s="91"/>
      <c r="P554" s="91"/>
      <c r="Q554" s="91"/>
      <c r="R554" s="91"/>
      <c r="S554" s="91"/>
      <c r="T554" s="91"/>
      <c r="U554" s="91"/>
      <c r="V554" s="91"/>
      <c r="W554" s="91"/>
    </row>
    <row r="555" spans="1:23" ht="15.95" customHeight="1" x14ac:dyDescent="0.15">
      <c r="A555" s="93"/>
      <c r="B555" s="93"/>
      <c r="C555" s="93"/>
      <c r="D555" s="100"/>
      <c r="E555" s="91"/>
      <c r="F555" s="91"/>
      <c r="G555" s="91"/>
      <c r="H555" s="91"/>
      <c r="I555" s="91"/>
      <c r="J555" s="91"/>
      <c r="K555" s="91"/>
      <c r="L555" s="91"/>
      <c r="M555" s="91"/>
      <c r="N555" s="91"/>
      <c r="O555" s="91"/>
      <c r="P555" s="91"/>
      <c r="Q555" s="91"/>
      <c r="R555" s="91"/>
      <c r="S555" s="91"/>
      <c r="T555" s="91"/>
      <c r="U555" s="91"/>
      <c r="V555" s="91"/>
      <c r="W555" s="91"/>
    </row>
    <row r="556" spans="1:23" ht="15.95" customHeight="1" x14ac:dyDescent="0.15">
      <c r="A556" s="93"/>
      <c r="B556" s="93"/>
      <c r="C556" s="93"/>
      <c r="D556" s="100"/>
      <c r="E556" s="91"/>
      <c r="F556" s="91"/>
      <c r="G556" s="91"/>
      <c r="H556" s="91"/>
      <c r="I556" s="91"/>
      <c r="J556" s="91"/>
      <c r="K556" s="91"/>
      <c r="L556" s="91"/>
      <c r="M556" s="91"/>
      <c r="N556" s="91"/>
      <c r="O556" s="91"/>
      <c r="P556" s="91"/>
      <c r="Q556" s="91"/>
      <c r="R556" s="91"/>
      <c r="S556" s="91"/>
      <c r="T556" s="91"/>
      <c r="U556" s="91"/>
      <c r="V556" s="91"/>
      <c r="W556" s="91"/>
    </row>
    <row r="557" spans="1:23" ht="15.95" customHeight="1" x14ac:dyDescent="0.15">
      <c r="A557" s="93"/>
      <c r="B557" s="93"/>
      <c r="C557" s="93"/>
      <c r="D557" s="100"/>
      <c r="E557" s="91"/>
      <c r="F557" s="91"/>
      <c r="G557" s="91"/>
      <c r="H557" s="91"/>
      <c r="I557" s="91"/>
      <c r="J557" s="91"/>
      <c r="K557" s="91"/>
      <c r="L557" s="91"/>
      <c r="M557" s="91"/>
      <c r="N557" s="91"/>
      <c r="O557" s="91"/>
      <c r="P557" s="91"/>
      <c r="Q557" s="91"/>
      <c r="R557" s="91"/>
      <c r="S557" s="91"/>
      <c r="T557" s="91"/>
      <c r="U557" s="91"/>
      <c r="V557" s="91"/>
      <c r="W557" s="91"/>
    </row>
    <row r="558" spans="1:23" ht="15.95" customHeight="1" x14ac:dyDescent="0.15">
      <c r="A558" s="93"/>
      <c r="B558" s="93"/>
      <c r="C558" s="93"/>
      <c r="D558" s="100"/>
      <c r="E558" s="91"/>
      <c r="F558" s="91"/>
      <c r="G558" s="91"/>
      <c r="H558" s="91"/>
      <c r="I558" s="91"/>
      <c r="J558" s="91"/>
      <c r="K558" s="91"/>
      <c r="L558" s="91"/>
      <c r="M558" s="91"/>
      <c r="N558" s="91"/>
      <c r="O558" s="91"/>
      <c r="P558" s="91"/>
      <c r="Q558" s="91"/>
      <c r="R558" s="91"/>
      <c r="S558" s="91"/>
      <c r="T558" s="91"/>
      <c r="U558" s="91"/>
      <c r="V558" s="91"/>
      <c r="W558" s="91"/>
    </row>
    <row r="559" spans="1:23" ht="15.95" customHeight="1" x14ac:dyDescent="0.15">
      <c r="A559" s="93"/>
      <c r="B559" s="93"/>
      <c r="C559" s="93"/>
      <c r="D559" s="100"/>
      <c r="E559" s="91"/>
      <c r="F559" s="91"/>
      <c r="G559" s="91"/>
      <c r="H559" s="91"/>
      <c r="I559" s="91"/>
      <c r="J559" s="91"/>
      <c r="K559" s="91"/>
      <c r="L559" s="91"/>
      <c r="M559" s="91"/>
      <c r="N559" s="91"/>
      <c r="O559" s="91"/>
      <c r="P559" s="91"/>
      <c r="Q559" s="91"/>
      <c r="R559" s="91"/>
      <c r="S559" s="91"/>
      <c r="T559" s="91"/>
      <c r="U559" s="91"/>
      <c r="V559" s="91"/>
      <c r="W559" s="91"/>
    </row>
    <row r="560" spans="1:23" ht="15.95" customHeight="1" x14ac:dyDescent="0.15">
      <c r="A560" s="93"/>
      <c r="B560" s="93"/>
      <c r="C560" s="93"/>
      <c r="D560" s="100"/>
      <c r="E560" s="91"/>
      <c r="F560" s="91"/>
      <c r="G560" s="91"/>
      <c r="H560" s="91"/>
      <c r="I560" s="91"/>
      <c r="J560" s="91"/>
      <c r="K560" s="91"/>
      <c r="L560" s="91"/>
      <c r="M560" s="91"/>
      <c r="N560" s="91"/>
      <c r="O560" s="91"/>
      <c r="P560" s="91"/>
      <c r="Q560" s="91"/>
      <c r="R560" s="91"/>
      <c r="S560" s="91"/>
      <c r="T560" s="91"/>
      <c r="U560" s="91"/>
      <c r="V560" s="91"/>
      <c r="W560" s="91"/>
    </row>
    <row r="561" spans="1:23" ht="15.95" customHeight="1" x14ac:dyDescent="0.15">
      <c r="A561" s="93"/>
      <c r="B561" s="93"/>
      <c r="C561" s="93"/>
      <c r="D561" s="100"/>
      <c r="E561" s="91"/>
      <c r="F561" s="91"/>
      <c r="G561" s="91"/>
      <c r="H561" s="91"/>
      <c r="I561" s="91"/>
      <c r="J561" s="91"/>
      <c r="K561" s="91"/>
      <c r="L561" s="91"/>
      <c r="M561" s="91"/>
      <c r="N561" s="91"/>
      <c r="O561" s="91"/>
      <c r="P561" s="91"/>
      <c r="Q561" s="91"/>
      <c r="R561" s="91"/>
      <c r="S561" s="91"/>
      <c r="T561" s="91"/>
      <c r="U561" s="91"/>
      <c r="V561" s="91"/>
      <c r="W561" s="91"/>
    </row>
    <row r="562" spans="1:23" ht="15.95" customHeight="1" x14ac:dyDescent="0.15">
      <c r="A562" s="93"/>
      <c r="B562" s="93"/>
      <c r="C562" s="93"/>
      <c r="D562" s="100"/>
      <c r="E562" s="91"/>
      <c r="F562" s="91"/>
      <c r="G562" s="91"/>
      <c r="H562" s="91"/>
      <c r="I562" s="91"/>
      <c r="J562" s="91"/>
      <c r="K562" s="91"/>
      <c r="L562" s="91"/>
      <c r="M562" s="91"/>
      <c r="N562" s="91"/>
      <c r="O562" s="91"/>
      <c r="P562" s="91"/>
      <c r="Q562" s="91"/>
      <c r="R562" s="91"/>
      <c r="S562" s="91"/>
      <c r="T562" s="91"/>
      <c r="U562" s="91"/>
      <c r="V562" s="91"/>
      <c r="W562" s="91"/>
    </row>
    <row r="563" spans="1:23" ht="15.95" customHeight="1" x14ac:dyDescent="0.15">
      <c r="A563" s="93"/>
      <c r="B563" s="93"/>
      <c r="C563" s="93"/>
      <c r="D563" s="100"/>
      <c r="E563" s="91"/>
      <c r="F563" s="91"/>
      <c r="G563" s="91"/>
      <c r="H563" s="91"/>
      <c r="I563" s="91"/>
      <c r="J563" s="91"/>
      <c r="K563" s="91"/>
      <c r="L563" s="91"/>
      <c r="M563" s="91"/>
      <c r="N563" s="91"/>
      <c r="O563" s="91"/>
      <c r="P563" s="91"/>
      <c r="Q563" s="91"/>
      <c r="R563" s="91"/>
      <c r="S563" s="91"/>
      <c r="T563" s="91"/>
      <c r="U563" s="91"/>
      <c r="V563" s="91"/>
      <c r="W563" s="91"/>
    </row>
    <row r="564" spans="1:23" ht="15.95" customHeight="1" x14ac:dyDescent="0.15">
      <c r="A564" s="93"/>
      <c r="B564" s="93"/>
      <c r="C564" s="93"/>
      <c r="D564" s="100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/>
      <c r="S564" s="91"/>
      <c r="T564" s="91"/>
      <c r="U564" s="91"/>
      <c r="V564" s="91"/>
      <c r="W564" s="91"/>
    </row>
    <row r="565" spans="1:23" ht="15.95" customHeight="1" x14ac:dyDescent="0.15">
      <c r="A565" s="93"/>
      <c r="B565" s="93"/>
      <c r="C565" s="93"/>
      <c r="D565" s="100"/>
      <c r="E565" s="91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</row>
    <row r="566" spans="1:23" ht="15.95" customHeight="1" x14ac:dyDescent="0.15">
      <c r="A566" s="93"/>
      <c r="B566" s="93"/>
      <c r="C566" s="93"/>
      <c r="D566" s="100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</row>
    <row r="567" spans="1:23" ht="15.95" customHeight="1" x14ac:dyDescent="0.15">
      <c r="A567" s="93"/>
      <c r="B567" s="93"/>
      <c r="C567" s="93"/>
      <c r="D567" s="100"/>
      <c r="E567" s="91"/>
      <c r="F567" s="91"/>
      <c r="G567" s="91"/>
      <c r="H567" s="91"/>
      <c r="I567" s="91"/>
      <c r="J567" s="91"/>
      <c r="K567" s="91"/>
      <c r="L567" s="91"/>
      <c r="M567" s="91"/>
      <c r="N567" s="91"/>
      <c r="O567" s="91"/>
      <c r="P567" s="91"/>
      <c r="Q567" s="91"/>
      <c r="R567" s="91"/>
      <c r="S567" s="91"/>
      <c r="T567" s="91"/>
      <c r="U567" s="91"/>
      <c r="V567" s="91"/>
      <c r="W567" s="91"/>
    </row>
    <row r="568" spans="1:23" ht="15.95" customHeight="1" x14ac:dyDescent="0.15">
      <c r="A568" s="93"/>
      <c r="B568" s="93"/>
      <c r="C568" s="93"/>
      <c r="D568" s="100"/>
      <c r="E568" s="91"/>
      <c r="F568" s="91"/>
      <c r="G568" s="91"/>
      <c r="H568" s="91"/>
      <c r="I568" s="91"/>
      <c r="J568" s="91"/>
      <c r="K568" s="91"/>
      <c r="L568" s="91"/>
      <c r="M568" s="91"/>
      <c r="N568" s="91"/>
      <c r="O568" s="91"/>
      <c r="P568" s="91"/>
      <c r="Q568" s="91"/>
      <c r="R568" s="91"/>
      <c r="S568" s="91"/>
      <c r="T568" s="91"/>
      <c r="U568" s="91"/>
      <c r="V568" s="91"/>
      <c r="W568" s="91"/>
    </row>
    <row r="569" spans="1:23" ht="15.95" customHeight="1" x14ac:dyDescent="0.15">
      <c r="A569" s="93"/>
      <c r="B569" s="93"/>
      <c r="C569" s="93"/>
      <c r="D569" s="100"/>
      <c r="E569" s="91"/>
      <c r="F569" s="91"/>
      <c r="G569" s="91"/>
      <c r="H569" s="91"/>
      <c r="I569" s="91"/>
      <c r="J569" s="91"/>
      <c r="K569" s="91"/>
      <c r="L569" s="91"/>
      <c r="M569" s="91"/>
      <c r="N569" s="91"/>
      <c r="O569" s="91"/>
      <c r="P569" s="91"/>
      <c r="Q569" s="91"/>
      <c r="R569" s="91"/>
      <c r="S569" s="91"/>
      <c r="T569" s="91"/>
      <c r="U569" s="91"/>
      <c r="V569" s="91"/>
      <c r="W569" s="91"/>
    </row>
    <row r="570" spans="1:23" ht="15.95" customHeight="1" x14ac:dyDescent="0.15">
      <c r="A570" s="93"/>
      <c r="B570" s="93"/>
      <c r="C570" s="93"/>
      <c r="D570" s="100"/>
      <c r="E570" s="91"/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</row>
    <row r="571" spans="1:23" ht="15.95" customHeight="1" x14ac:dyDescent="0.15">
      <c r="A571" s="93"/>
      <c r="B571" s="93"/>
      <c r="C571" s="93"/>
      <c r="D571" s="100"/>
      <c r="E571" s="91"/>
      <c r="F571" s="91"/>
      <c r="G571" s="91"/>
      <c r="H571" s="91"/>
      <c r="I571" s="91"/>
      <c r="J571" s="91"/>
      <c r="K571" s="91"/>
      <c r="L571" s="91"/>
      <c r="M571" s="91"/>
      <c r="N571" s="91"/>
      <c r="O571" s="91"/>
      <c r="P571" s="91"/>
      <c r="Q571" s="91"/>
      <c r="R571" s="91"/>
      <c r="S571" s="91"/>
      <c r="T571" s="91"/>
      <c r="U571" s="91"/>
      <c r="V571" s="91"/>
      <c r="W571" s="91"/>
    </row>
    <row r="572" spans="1:23" ht="15.95" customHeight="1" x14ac:dyDescent="0.15">
      <c r="A572" s="93"/>
      <c r="B572" s="93"/>
      <c r="C572" s="93"/>
      <c r="D572" s="100"/>
      <c r="E572" s="91"/>
      <c r="F572" s="91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/>
      <c r="W572" s="91"/>
    </row>
    <row r="573" spans="1:23" ht="15.95" customHeight="1" x14ac:dyDescent="0.15">
      <c r="A573" s="93"/>
      <c r="B573" s="93"/>
      <c r="C573" s="93"/>
      <c r="D573" s="100"/>
      <c r="E573" s="91"/>
      <c r="F573" s="91"/>
      <c r="G573" s="91"/>
      <c r="H573" s="91"/>
      <c r="I573" s="91"/>
      <c r="J573" s="91"/>
      <c r="K573" s="91"/>
      <c r="L573" s="91"/>
      <c r="M573" s="91"/>
      <c r="N573" s="91"/>
      <c r="O573" s="91"/>
      <c r="P573" s="91"/>
      <c r="Q573" s="91"/>
      <c r="R573" s="91"/>
      <c r="S573" s="91"/>
      <c r="T573" s="91"/>
      <c r="U573" s="91"/>
      <c r="V573" s="91"/>
      <c r="W573" s="91"/>
    </row>
    <row r="574" spans="1:23" ht="15.95" customHeight="1" x14ac:dyDescent="0.15">
      <c r="A574" s="93"/>
      <c r="B574" s="93"/>
      <c r="C574" s="93"/>
      <c r="D574" s="100"/>
      <c r="E574" s="91"/>
      <c r="F574" s="91"/>
      <c r="G574" s="91"/>
      <c r="H574" s="91"/>
      <c r="I574" s="91"/>
      <c r="J574" s="91"/>
      <c r="K574" s="91"/>
      <c r="L574" s="91"/>
      <c r="M574" s="91"/>
      <c r="N574" s="91"/>
      <c r="O574" s="91"/>
      <c r="P574" s="91"/>
      <c r="Q574" s="91"/>
      <c r="R574" s="91"/>
      <c r="S574" s="91"/>
      <c r="T574" s="91"/>
      <c r="U574" s="91"/>
      <c r="V574" s="91"/>
      <c r="W574" s="91"/>
    </row>
    <row r="575" spans="1:23" ht="15.95" customHeight="1" x14ac:dyDescent="0.15">
      <c r="W575" s="91"/>
    </row>
    <row r="576" spans="1:23" ht="15.95" customHeight="1" x14ac:dyDescent="0.15">
      <c r="W576" s="91"/>
    </row>
  </sheetData>
  <autoFilter ref="A2:W574"/>
  <phoneticPr fontId="1" type="noConversion"/>
  <conditionalFormatting sqref="M1:M1048576">
    <cfRule type="containsText" dxfId="2" priority="2" operator="containsText" text="激光">
      <formula>NOT(ISERROR(SEARCH("激光",M1)))</formula>
    </cfRule>
  </conditionalFormatting>
  <conditionalFormatting sqref="D1:D1048576">
    <cfRule type="duplicateValues" dxfId="1" priority="1"/>
  </conditionalFormatting>
  <dataValidations disablePrompts="1" count="1">
    <dataValidation type="list" allowBlank="1" showInputMessage="1" showErrorMessage="1" sqref="AC2">
      <formula1>"是,否"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" r:id="rId4" name="CheckBox代号为空">
          <controlPr defaultSize="0" autoLine="0" r:id="rId5">
            <anchor>
              <from>
                <xdr:col>4</xdr:col>
                <xdr:colOff>123825</xdr:colOff>
                <xdr:row>0</xdr:row>
                <xdr:rowOff>0</xdr:rowOff>
              </from>
              <to>
                <xdr:col>4</xdr:col>
                <xdr:colOff>828675</xdr:colOff>
                <xdr:row>0</xdr:row>
                <xdr:rowOff>200025</xdr:rowOff>
              </to>
            </anchor>
          </controlPr>
        </control>
      </mc:Choice>
      <mc:Fallback>
        <control shapeId="1128" r:id="rId4" name="CheckBox代号为空"/>
      </mc:Fallback>
    </mc:AlternateContent>
    <mc:AlternateContent xmlns:mc="http://schemas.openxmlformats.org/markup-compatibility/2006">
      <mc:Choice Requires="x14">
        <control shapeId="1127" r:id="rId6" name="清除空文件按钮">
          <controlPr defaultSize="0" altText="" r:id="rId7">
            <anchor>
              <from>
                <xdr:col>3</xdr:col>
                <xdr:colOff>219075</xdr:colOff>
                <xdr:row>0</xdr:row>
                <xdr:rowOff>0</xdr:rowOff>
              </from>
              <to>
                <xdr:col>3</xdr:col>
                <xdr:colOff>1076325</xdr:colOff>
                <xdr:row>0</xdr:row>
                <xdr:rowOff>257175</xdr:rowOff>
              </to>
            </anchor>
          </controlPr>
        </control>
      </mc:Choice>
      <mc:Fallback>
        <control shapeId="1127" r:id="rId6" name="清除空文件按钮"/>
      </mc:Fallback>
    </mc:AlternateContent>
    <mc:AlternateContent xmlns:mc="http://schemas.openxmlformats.org/markup-compatibility/2006">
      <mc:Choice Requires="x14">
        <control shapeId="1125" r:id="rId8" name="CommandButton读取bom">
          <controlPr defaultSize="0" altText="" r:id="rId9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247650</xdr:colOff>
                <xdr:row>0</xdr:row>
                <xdr:rowOff>257175</xdr:rowOff>
              </to>
            </anchor>
          </controlPr>
        </control>
      </mc:Choice>
      <mc:Fallback>
        <control shapeId="1125" r:id="rId8" name="CommandButton读取bom"/>
      </mc:Fallback>
    </mc:AlternateContent>
    <mc:AlternateContent xmlns:mc="http://schemas.openxmlformats.org/markup-compatibility/2006">
      <mc:Choice Requires="x14">
        <control shapeId="1124" r:id="rId10" name="CommandButton提取部分备注信息">
          <controlPr defaultSize="0" altText="" r:id="rId11">
            <anchor>
              <from>
                <xdr:col>10</xdr:col>
                <xdr:colOff>323850</xdr:colOff>
                <xdr:row>0</xdr:row>
                <xdr:rowOff>0</xdr:rowOff>
              </from>
              <to>
                <xdr:col>13</xdr:col>
                <xdr:colOff>114300</xdr:colOff>
                <xdr:row>0</xdr:row>
                <xdr:rowOff>238125</xdr:rowOff>
              </to>
            </anchor>
          </controlPr>
        </control>
      </mc:Choice>
      <mc:Fallback>
        <control shapeId="1124" r:id="rId10" name="CommandButton提取部分备注信息"/>
      </mc:Fallback>
    </mc:AlternateContent>
    <mc:AlternateContent xmlns:mc="http://schemas.openxmlformats.org/markup-compatibility/2006">
      <mc:Choice Requires="x14">
        <control shapeId="1123" r:id="rId12" name="CommandButton其他汇总">
          <controlPr defaultSize="0" altText="" r:id="rId13">
            <anchor>
              <from>
                <xdr:col>21</xdr:col>
                <xdr:colOff>190500</xdr:colOff>
                <xdr:row>0</xdr:row>
                <xdr:rowOff>0</xdr:rowOff>
              </from>
              <to>
                <xdr:col>23</xdr:col>
                <xdr:colOff>219075</xdr:colOff>
                <xdr:row>0</xdr:row>
                <xdr:rowOff>238125</xdr:rowOff>
              </to>
            </anchor>
          </controlPr>
        </control>
      </mc:Choice>
      <mc:Fallback>
        <control shapeId="1123" r:id="rId12" name="CommandButton其他汇总"/>
      </mc:Fallback>
    </mc:AlternateContent>
    <mc:AlternateContent xmlns:mc="http://schemas.openxmlformats.org/markup-compatibility/2006">
      <mc:Choice Requires="x14">
        <control shapeId="1120" r:id="rId14" name="CommandButton原材料汇总">
          <controlPr defaultSize="0" altText="" r:id="rId15">
            <anchor>
              <from>
                <xdr:col>18</xdr:col>
                <xdr:colOff>200025</xdr:colOff>
                <xdr:row>0</xdr:row>
                <xdr:rowOff>0</xdr:rowOff>
              </from>
              <to>
                <xdr:col>21</xdr:col>
                <xdr:colOff>133350</xdr:colOff>
                <xdr:row>0</xdr:row>
                <xdr:rowOff>247650</xdr:rowOff>
              </to>
            </anchor>
          </controlPr>
        </control>
      </mc:Choice>
      <mc:Fallback>
        <control shapeId="1120" r:id="rId14" name="CommandButton原材料汇总"/>
      </mc:Fallback>
    </mc:AlternateContent>
    <mc:AlternateContent xmlns:mc="http://schemas.openxmlformats.org/markup-compatibility/2006">
      <mc:Choice Requires="x14">
        <control shapeId="1027" r:id="rId16" name="CommandButton算每台数量">
          <controlPr defaultSize="0" altText="" r:id="rId17">
            <anchor>
              <from>
                <xdr:col>5</xdr:col>
                <xdr:colOff>647700</xdr:colOff>
                <xdr:row>0</xdr:row>
                <xdr:rowOff>0</xdr:rowOff>
              </from>
              <to>
                <xdr:col>8</xdr:col>
                <xdr:colOff>57150</xdr:colOff>
                <xdr:row>0</xdr:row>
                <xdr:rowOff>257175</xdr:rowOff>
              </to>
            </anchor>
          </controlPr>
        </control>
      </mc:Choice>
      <mc:Fallback>
        <control shapeId="1027" r:id="rId16" name="CommandButton算每台数量"/>
      </mc:Fallback>
    </mc:AlternateContent>
    <mc:AlternateContent xmlns:mc="http://schemas.openxmlformats.org/markup-compatibility/2006">
      <mc:Choice Requires="x14">
        <control shapeId="1026" r:id="rId18" name="CommandButton导出">
          <controlPr defaultSize="0" altText="" r:id="rId19">
            <anchor>
              <from>
                <xdr:col>24</xdr:col>
                <xdr:colOff>381000</xdr:colOff>
                <xdr:row>0</xdr:row>
                <xdr:rowOff>0</xdr:rowOff>
              </from>
              <to>
                <xdr:col>25</xdr:col>
                <xdr:colOff>333375</xdr:colOff>
                <xdr:row>0</xdr:row>
                <xdr:rowOff>238125</xdr:rowOff>
              </to>
            </anchor>
          </controlPr>
        </control>
      </mc:Choice>
      <mc:Fallback>
        <control shapeId="1026" r:id="rId18" name="CommandButton导出"/>
      </mc:Fallback>
    </mc:AlternateContent>
    <mc:AlternateContent xmlns:mc="http://schemas.openxmlformats.org/markup-compatibility/2006">
      <mc:Choice Requires="x14">
        <control shapeId="1121" r:id="rId20" name="CommandButton拆规格">
          <controlPr defaultSize="0" altText="" r:id="rId21">
            <anchor>
              <from>
                <xdr:col>16</xdr:col>
                <xdr:colOff>152400</xdr:colOff>
                <xdr:row>0</xdr:row>
                <xdr:rowOff>0</xdr:rowOff>
              </from>
              <to>
                <xdr:col>18</xdr:col>
                <xdr:colOff>123825</xdr:colOff>
                <xdr:row>0</xdr:row>
                <xdr:rowOff>247650</xdr:rowOff>
              </to>
            </anchor>
          </controlPr>
        </control>
      </mc:Choice>
      <mc:Fallback>
        <control shapeId="1121" r:id="rId20" name="CommandButton拆规格"/>
      </mc:Fallback>
    </mc:AlternateContent>
    <mc:AlternateContent xmlns:mc="http://schemas.openxmlformats.org/markup-compatibility/2006">
      <mc:Choice Requires="x14">
        <control shapeId="1122" r:id="rId22" name="CommandButton分层">
          <controlPr defaultSize="0" altText="" r:id="rId23">
            <anchor>
              <from>
                <xdr:col>1</xdr:col>
                <xdr:colOff>266700</xdr:colOff>
                <xdr:row>0</xdr:row>
                <xdr:rowOff>0</xdr:rowOff>
              </from>
              <to>
                <xdr:col>1</xdr:col>
                <xdr:colOff>714375</xdr:colOff>
                <xdr:row>0</xdr:row>
                <xdr:rowOff>257175</xdr:rowOff>
              </to>
            </anchor>
          </controlPr>
        </control>
      </mc:Choice>
      <mc:Fallback>
        <control shapeId="1122" r:id="rId22" name="CommandButton分层"/>
      </mc:Fallback>
    </mc:AlternateContent>
    <mc:AlternateContent xmlns:mc="http://schemas.openxmlformats.org/markup-compatibility/2006">
      <mc:Choice Requires="x14">
        <control shapeId="1129" r:id="rId24" name="CommandButton另存">
          <controlPr defaultSize="0" altText="" r:id="rId25">
            <anchor>
              <from>
                <xdr:col>23</xdr:col>
                <xdr:colOff>314325</xdr:colOff>
                <xdr:row>0</xdr:row>
                <xdr:rowOff>0</xdr:rowOff>
              </from>
              <to>
                <xdr:col>24</xdr:col>
                <xdr:colOff>266700</xdr:colOff>
                <xdr:row>0</xdr:row>
                <xdr:rowOff>238125</xdr:rowOff>
              </to>
            </anchor>
          </controlPr>
        </control>
      </mc:Choice>
      <mc:Fallback>
        <control shapeId="1129" r:id="rId24" name="CommandButton另存"/>
      </mc:Fallback>
    </mc:AlternateContent>
    <mc:AlternateContent xmlns:mc="http://schemas.openxmlformats.org/markup-compatibility/2006">
      <mc:Choice Requires="x14">
        <control shapeId="1130" r:id="rId26" name="CommandButton格式化项目号">
          <controlPr defaultSize="0" altText="" r:id="rId27">
            <anchor>
              <from>
                <xdr:col>1</xdr:col>
                <xdr:colOff>819150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209550</xdr:rowOff>
              </to>
            </anchor>
          </controlPr>
        </control>
      </mc:Choice>
      <mc:Fallback>
        <control shapeId="1130" r:id="rId26" name="CommandButton格式化项目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528"/>
  <sheetViews>
    <sheetView zoomScale="145" zoomScaleNormal="145" workbookViewId="0">
      <pane ySplit="2" topLeftCell="A3" activePane="bottomLeft" state="frozen"/>
      <selection pane="bottomLeft" activeCell="D6" sqref="D6"/>
    </sheetView>
  </sheetViews>
  <sheetFormatPr defaultRowHeight="15.95" customHeight="1" x14ac:dyDescent="0.15"/>
  <cols>
    <col min="1" max="1" width="8.5" style="9" customWidth="1"/>
    <col min="2" max="2" width="14.75" style="4" bestFit="1" customWidth="1"/>
    <col min="3" max="3" width="16.5" style="4" customWidth="1"/>
    <col min="4" max="4" width="15.5" style="4" customWidth="1"/>
    <col min="5" max="5" width="5" style="4" customWidth="1"/>
    <col min="6" max="6" width="4.5" style="4" customWidth="1"/>
    <col min="7" max="7" width="9" style="4"/>
    <col min="8" max="8" width="8.75" style="4" bestFit="1" customWidth="1"/>
    <col min="9" max="9" width="5.625" style="4" customWidth="1"/>
    <col min="10" max="10" width="8.125" style="4" customWidth="1"/>
    <col min="11" max="11" width="6.375" style="4" customWidth="1"/>
    <col min="12" max="12" width="5.25" style="4" customWidth="1"/>
    <col min="13" max="13" width="6.125" style="4" customWidth="1"/>
    <col min="14" max="14" width="4.875" style="4" customWidth="1"/>
    <col min="15" max="15" width="11.375" style="4" customWidth="1"/>
    <col min="16" max="16" width="9" style="4" customWidth="1"/>
    <col min="17" max="16384" width="9" style="4"/>
  </cols>
  <sheetData>
    <row r="1" spans="1:15" ht="18.75" x14ac:dyDescent="0.15">
      <c r="A1" s="101" t="s">
        <v>887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3"/>
    </row>
    <row r="2" spans="1:15" s="12" customFormat="1" ht="24" x14ac:dyDescent="0.15">
      <c r="A2" s="10" t="s">
        <v>37</v>
      </c>
      <c r="B2" s="11" t="s">
        <v>6</v>
      </c>
      <c r="C2" s="11" t="s">
        <v>7</v>
      </c>
      <c r="D2" s="11" t="s">
        <v>0</v>
      </c>
      <c r="E2" s="11" t="s">
        <v>1</v>
      </c>
      <c r="F2" s="11" t="s">
        <v>12</v>
      </c>
      <c r="G2" s="11" t="s">
        <v>10</v>
      </c>
      <c r="H2" s="11" t="s">
        <v>13</v>
      </c>
      <c r="I2" s="11" t="s">
        <v>9</v>
      </c>
      <c r="J2" s="11" t="s">
        <v>14</v>
      </c>
      <c r="K2" s="11" t="s">
        <v>3</v>
      </c>
      <c r="L2" s="11" t="s">
        <v>15</v>
      </c>
      <c r="M2" s="11" t="s">
        <v>16</v>
      </c>
      <c r="N2" s="11" t="s">
        <v>4</v>
      </c>
      <c r="O2" s="11" t="s">
        <v>2</v>
      </c>
    </row>
    <row r="3" spans="1:15" ht="13.5" x14ac:dyDescent="0.15">
      <c r="A3" s="64"/>
      <c r="B3" s="63"/>
      <c r="C3" s="63"/>
      <c r="D3" s="63"/>
      <c r="E3" s="65"/>
      <c r="F3" s="65"/>
      <c r="G3" s="65"/>
      <c r="H3" s="63"/>
      <c r="I3" s="65"/>
      <c r="J3" s="63"/>
      <c r="K3" s="65"/>
      <c r="L3" s="65"/>
      <c r="M3" s="65"/>
      <c r="N3" s="63"/>
      <c r="O3" s="65"/>
    </row>
    <row r="4" spans="1:15" ht="13.5" x14ac:dyDescent="0.15">
      <c r="A4" s="64"/>
      <c r="B4" s="63"/>
      <c r="C4" s="63"/>
      <c r="D4" s="63"/>
      <c r="E4" s="63"/>
      <c r="F4" s="65"/>
      <c r="G4" s="63"/>
      <c r="H4" s="63"/>
      <c r="I4" s="63"/>
      <c r="J4" s="63"/>
      <c r="K4" s="65"/>
      <c r="L4" s="65"/>
      <c r="M4" s="65"/>
      <c r="N4" s="63"/>
      <c r="O4" s="65"/>
    </row>
    <row r="5" spans="1:15" ht="13.5" x14ac:dyDescent="0.15">
      <c r="A5" s="64"/>
      <c r="B5" s="63"/>
      <c r="C5" s="63"/>
      <c r="D5" s="63"/>
      <c r="E5" s="63"/>
      <c r="F5" s="65"/>
      <c r="G5" s="66"/>
      <c r="H5" s="63"/>
      <c r="I5" s="63"/>
      <c r="J5" s="63"/>
      <c r="K5" s="65"/>
      <c r="L5" s="65"/>
      <c r="M5" s="65"/>
      <c r="N5" s="63"/>
      <c r="O5" s="65"/>
    </row>
    <row r="6" spans="1:15" ht="13.5" x14ac:dyDescent="0.15">
      <c r="A6" s="64"/>
      <c r="B6" s="6"/>
      <c r="C6" s="63"/>
      <c r="D6" s="63"/>
      <c r="E6" s="65"/>
      <c r="F6" s="65"/>
      <c r="G6" s="65"/>
      <c r="H6" s="63"/>
      <c r="I6" s="65"/>
      <c r="J6" s="63"/>
      <c r="K6" s="65"/>
      <c r="L6" s="65"/>
      <c r="M6" s="65"/>
      <c r="N6" s="65"/>
      <c r="O6" s="65"/>
    </row>
    <row r="7" spans="1:15" ht="13.5" x14ac:dyDescent="0.15">
      <c r="A7" s="64"/>
      <c r="B7" s="63"/>
      <c r="C7" s="63"/>
      <c r="D7" s="63"/>
      <c r="E7" s="65"/>
      <c r="F7" s="65"/>
      <c r="G7" s="65"/>
      <c r="H7" s="63"/>
      <c r="I7" s="65"/>
      <c r="J7" s="63"/>
      <c r="K7" s="65"/>
      <c r="L7" s="65"/>
      <c r="M7" s="65"/>
      <c r="N7" s="63"/>
      <c r="O7" s="65"/>
    </row>
    <row r="8" spans="1:15" ht="13.5" x14ac:dyDescent="0.15">
      <c r="A8" s="64"/>
      <c r="B8" s="63"/>
      <c r="C8" s="63"/>
      <c r="D8" s="63"/>
      <c r="E8" s="63"/>
      <c r="F8" s="65"/>
      <c r="G8" s="63"/>
      <c r="H8" s="63"/>
      <c r="I8" s="63"/>
      <c r="J8" s="63"/>
      <c r="K8" s="65"/>
      <c r="L8" s="65"/>
      <c r="M8" s="65"/>
      <c r="N8" s="63"/>
      <c r="O8" s="65"/>
    </row>
    <row r="9" spans="1:15" ht="13.5" x14ac:dyDescent="0.15">
      <c r="A9" s="64"/>
      <c r="B9" s="63"/>
      <c r="C9" s="63"/>
      <c r="D9" s="63"/>
      <c r="E9" s="63"/>
      <c r="F9" s="65"/>
      <c r="G9" s="63"/>
      <c r="H9" s="63"/>
      <c r="I9" s="63"/>
      <c r="J9" s="63"/>
      <c r="K9" s="65"/>
      <c r="L9" s="65"/>
      <c r="M9" s="65"/>
      <c r="N9" s="63"/>
      <c r="O9" s="65"/>
    </row>
    <row r="10" spans="1:15" ht="13.5" x14ac:dyDescent="0.15">
      <c r="A10" s="64"/>
      <c r="B10" s="63"/>
      <c r="C10" s="63"/>
      <c r="D10" s="63"/>
      <c r="E10" s="63"/>
      <c r="F10" s="65"/>
      <c r="G10" s="63"/>
      <c r="H10" s="63"/>
      <c r="I10" s="63"/>
      <c r="J10" s="63"/>
      <c r="K10" s="65"/>
      <c r="L10" s="65"/>
      <c r="M10" s="65"/>
      <c r="N10" s="63"/>
      <c r="O10" s="65"/>
    </row>
    <row r="11" spans="1:15" ht="13.5" x14ac:dyDescent="0.15">
      <c r="A11" s="64"/>
      <c r="B11" s="63"/>
      <c r="C11" s="63"/>
      <c r="D11" s="63"/>
      <c r="E11" s="65"/>
      <c r="F11" s="65"/>
      <c r="G11" s="65"/>
      <c r="H11" s="63"/>
      <c r="I11" s="65"/>
      <c r="J11" s="63"/>
      <c r="K11" s="65"/>
      <c r="L11" s="65"/>
      <c r="M11" s="65"/>
      <c r="N11" s="63"/>
      <c r="O11" s="65"/>
    </row>
    <row r="12" spans="1:15" ht="13.5" x14ac:dyDescent="0.15">
      <c r="A12" s="64"/>
      <c r="B12" s="63"/>
      <c r="C12" s="63"/>
      <c r="D12" s="63"/>
      <c r="E12" s="65"/>
      <c r="F12" s="65"/>
      <c r="G12" s="65"/>
      <c r="H12" s="63"/>
      <c r="I12" s="65"/>
      <c r="J12" s="63"/>
      <c r="K12" s="65"/>
      <c r="L12" s="65"/>
      <c r="M12" s="65"/>
      <c r="N12" s="63"/>
      <c r="O12" s="65"/>
    </row>
    <row r="13" spans="1:15" ht="13.5" x14ac:dyDescent="0.15">
      <c r="A13" s="64"/>
      <c r="B13" s="63"/>
      <c r="C13" s="63"/>
      <c r="D13" s="63"/>
      <c r="E13" s="63"/>
      <c r="F13" s="65"/>
      <c r="G13" s="66"/>
      <c r="H13" s="63"/>
      <c r="I13" s="63"/>
      <c r="J13" s="63"/>
      <c r="K13" s="65"/>
      <c r="L13" s="65"/>
      <c r="M13" s="65"/>
      <c r="N13" s="65"/>
      <c r="O13" s="65"/>
    </row>
    <row r="14" spans="1:15" ht="13.5" x14ac:dyDescent="0.15">
      <c r="A14" s="64"/>
      <c r="B14" s="63"/>
      <c r="C14" s="63"/>
      <c r="D14" s="63"/>
      <c r="E14" s="63"/>
      <c r="F14" s="65"/>
      <c r="G14" s="66"/>
      <c r="H14" s="63"/>
      <c r="I14" s="63"/>
      <c r="J14" s="63"/>
      <c r="K14" s="65"/>
      <c r="L14" s="65"/>
      <c r="M14" s="65"/>
      <c r="N14" s="65"/>
      <c r="O14" s="65"/>
    </row>
    <row r="15" spans="1:15" ht="13.5" x14ac:dyDescent="0.15">
      <c r="A15" s="64"/>
      <c r="B15" s="6"/>
      <c r="C15" s="63"/>
      <c r="D15" s="63"/>
      <c r="E15" s="63"/>
      <c r="F15" s="65"/>
      <c r="G15" s="66"/>
      <c r="H15" s="63"/>
      <c r="I15" s="63"/>
      <c r="J15" s="63"/>
      <c r="K15" s="65"/>
      <c r="L15" s="65"/>
      <c r="M15" s="65"/>
      <c r="N15" s="65"/>
      <c r="O15" s="65"/>
    </row>
    <row r="16" spans="1:15" ht="13.5" x14ac:dyDescent="0.15">
      <c r="A16" s="64"/>
      <c r="B16" s="63"/>
      <c r="C16" s="63"/>
      <c r="D16" s="63"/>
      <c r="E16" s="65"/>
      <c r="F16" s="65"/>
      <c r="G16" s="65"/>
      <c r="H16" s="63"/>
      <c r="I16" s="65"/>
      <c r="J16" s="63"/>
      <c r="K16" s="65"/>
      <c r="L16" s="65"/>
      <c r="M16" s="65"/>
      <c r="N16" s="65"/>
      <c r="O16" s="65"/>
    </row>
    <row r="17" spans="1:15" ht="13.5" x14ac:dyDescent="0.15">
      <c r="A17" s="64"/>
      <c r="B17" s="63"/>
      <c r="C17" s="63"/>
      <c r="D17" s="63"/>
      <c r="E17" s="63"/>
      <c r="F17" s="65"/>
      <c r="G17" s="66"/>
      <c r="H17" s="63"/>
      <c r="I17" s="63"/>
      <c r="J17" s="63"/>
      <c r="K17" s="65"/>
      <c r="L17" s="65"/>
      <c r="M17" s="65"/>
      <c r="N17" s="63"/>
      <c r="O17" s="65"/>
    </row>
    <row r="18" spans="1:15" ht="13.5" x14ac:dyDescent="0.15">
      <c r="A18" s="64"/>
      <c r="B18" s="63"/>
      <c r="C18" s="63"/>
      <c r="D18" s="63"/>
      <c r="E18" s="65"/>
      <c r="F18" s="65"/>
      <c r="G18" s="65"/>
      <c r="H18" s="63"/>
      <c r="I18" s="65"/>
      <c r="J18" s="63"/>
      <c r="K18" s="65"/>
      <c r="L18" s="65"/>
      <c r="M18" s="65"/>
      <c r="N18" s="63"/>
      <c r="O18" s="65"/>
    </row>
    <row r="19" spans="1:15" ht="13.5" x14ac:dyDescent="0.15">
      <c r="A19" s="64"/>
      <c r="B19" s="63"/>
      <c r="C19" s="63"/>
      <c r="D19" s="63"/>
      <c r="E19" s="63"/>
      <c r="F19" s="65"/>
      <c r="G19" s="63"/>
      <c r="H19" s="63"/>
      <c r="I19" s="63"/>
      <c r="J19" s="63"/>
      <c r="K19" s="65"/>
      <c r="L19" s="65"/>
      <c r="M19" s="65"/>
      <c r="N19" s="63"/>
      <c r="O19" s="65"/>
    </row>
    <row r="20" spans="1:15" ht="13.5" x14ac:dyDescent="0.15">
      <c r="A20" s="64"/>
      <c r="B20" s="63"/>
      <c r="C20" s="63"/>
      <c r="D20" s="63"/>
      <c r="E20" s="65"/>
      <c r="F20" s="65"/>
      <c r="G20" s="65"/>
      <c r="H20" s="63"/>
      <c r="I20" s="65"/>
      <c r="J20" s="63"/>
      <c r="K20" s="65"/>
      <c r="L20" s="65"/>
      <c r="M20" s="65"/>
      <c r="N20" s="65"/>
      <c r="O20" s="65"/>
    </row>
    <row r="21" spans="1:15" ht="13.5" x14ac:dyDescent="0.15">
      <c r="A21" s="64"/>
      <c r="B21" s="63"/>
      <c r="C21" s="63"/>
      <c r="D21" s="63"/>
      <c r="E21" s="63"/>
      <c r="F21" s="65"/>
      <c r="G21" s="63"/>
      <c r="H21" s="63"/>
      <c r="I21" s="63"/>
      <c r="J21" s="63"/>
      <c r="K21" s="65"/>
      <c r="L21" s="65"/>
      <c r="M21" s="65"/>
      <c r="N21" s="63"/>
      <c r="O21" s="65"/>
    </row>
    <row r="22" spans="1:15" ht="13.5" x14ac:dyDescent="0.15">
      <c r="A22" s="64"/>
      <c r="B22" s="63"/>
      <c r="C22" s="63"/>
      <c r="D22" s="63"/>
      <c r="E22" s="63"/>
      <c r="F22" s="65"/>
      <c r="G22" s="63"/>
      <c r="H22" s="63"/>
      <c r="I22" s="63"/>
      <c r="J22" s="63"/>
      <c r="K22" s="65"/>
      <c r="L22" s="65"/>
      <c r="M22" s="65"/>
      <c r="N22" s="63"/>
      <c r="O22" s="65"/>
    </row>
    <row r="23" spans="1:15" ht="13.5" x14ac:dyDescent="0.15">
      <c r="A23" s="64"/>
      <c r="B23" s="63"/>
      <c r="C23" s="63"/>
      <c r="D23" s="63"/>
      <c r="E23" s="63"/>
      <c r="F23" s="65"/>
      <c r="G23" s="63"/>
      <c r="H23" s="63"/>
      <c r="I23" s="63"/>
      <c r="J23" s="63"/>
      <c r="K23" s="65"/>
      <c r="L23" s="65"/>
      <c r="M23" s="65"/>
      <c r="N23" s="63"/>
      <c r="O23" s="65"/>
    </row>
    <row r="24" spans="1:15" ht="13.5" x14ac:dyDescent="0.15">
      <c r="A24" s="64"/>
      <c r="B24" s="63"/>
      <c r="C24" s="63"/>
      <c r="D24" s="63"/>
      <c r="E24" s="63"/>
      <c r="F24" s="65"/>
      <c r="G24" s="66"/>
      <c r="H24" s="63"/>
      <c r="I24" s="63"/>
      <c r="J24" s="63"/>
      <c r="K24" s="65"/>
      <c r="L24" s="65"/>
      <c r="M24" s="65"/>
      <c r="N24" s="65"/>
      <c r="O24" s="65"/>
    </row>
    <row r="25" spans="1:15" ht="13.5" x14ac:dyDescent="0.15">
      <c r="A25" s="64"/>
      <c r="B25" s="63"/>
      <c r="C25" s="63"/>
      <c r="D25" s="65"/>
      <c r="E25" s="65"/>
      <c r="F25" s="65"/>
      <c r="G25" s="65"/>
      <c r="H25" s="66"/>
      <c r="I25" s="65"/>
      <c r="J25" s="65"/>
      <c r="K25" s="65"/>
      <c r="L25" s="65"/>
      <c r="M25" s="65"/>
      <c r="N25" s="65"/>
      <c r="O25" s="65"/>
    </row>
    <row r="26" spans="1:15" ht="13.5" x14ac:dyDescent="0.15">
      <c r="A26" s="64"/>
      <c r="B26" s="63"/>
      <c r="C26" s="63"/>
      <c r="D26" s="63"/>
      <c r="E26" s="63"/>
      <c r="F26" s="65"/>
      <c r="G26" s="63"/>
      <c r="H26" s="63"/>
      <c r="I26" s="63"/>
      <c r="J26" s="63"/>
      <c r="K26" s="65"/>
      <c r="L26" s="65"/>
      <c r="M26" s="65"/>
      <c r="N26" s="63"/>
      <c r="O26" s="65"/>
    </row>
    <row r="27" spans="1:15" ht="13.5" x14ac:dyDescent="0.15">
      <c r="A27" s="64"/>
      <c r="B27" s="63"/>
      <c r="C27" s="63"/>
      <c r="D27" s="63"/>
      <c r="E27" s="63"/>
      <c r="F27" s="65"/>
      <c r="G27" s="63"/>
      <c r="H27" s="63"/>
      <c r="I27" s="63"/>
      <c r="J27" s="63"/>
      <c r="K27" s="65"/>
      <c r="L27" s="65"/>
      <c r="M27" s="65"/>
      <c r="N27" s="63"/>
      <c r="O27" s="65"/>
    </row>
    <row r="28" spans="1:15" ht="13.5" x14ac:dyDescent="0.15">
      <c r="A28" s="64"/>
      <c r="B28" s="63"/>
      <c r="C28" s="63"/>
      <c r="D28" s="63"/>
      <c r="E28" s="63"/>
      <c r="F28" s="65"/>
      <c r="G28" s="63"/>
      <c r="H28" s="63"/>
      <c r="I28" s="63"/>
      <c r="J28" s="63"/>
      <c r="K28" s="65"/>
      <c r="L28" s="65"/>
      <c r="M28" s="65"/>
      <c r="N28" s="63"/>
      <c r="O28" s="65"/>
    </row>
    <row r="29" spans="1:15" ht="13.5" x14ac:dyDescent="0.15">
      <c r="A29" s="64"/>
      <c r="B29" s="63"/>
      <c r="C29" s="63"/>
      <c r="D29" s="63"/>
      <c r="E29" s="63"/>
      <c r="F29" s="65"/>
      <c r="G29" s="63"/>
      <c r="H29" s="63"/>
      <c r="I29" s="63"/>
      <c r="J29" s="63"/>
      <c r="K29" s="65"/>
      <c r="L29" s="65"/>
      <c r="M29" s="65"/>
      <c r="N29" s="63"/>
      <c r="O29" s="65"/>
    </row>
    <row r="30" spans="1:15" ht="13.5" x14ac:dyDescent="0.15">
      <c r="A30" s="64"/>
      <c r="B30" s="63"/>
      <c r="C30" s="63"/>
      <c r="D30" s="63"/>
      <c r="E30" s="63"/>
      <c r="F30" s="65"/>
      <c r="G30" s="63"/>
      <c r="H30" s="63"/>
      <c r="I30" s="63"/>
      <c r="J30" s="63"/>
      <c r="K30" s="65"/>
      <c r="L30" s="65"/>
      <c r="M30" s="65"/>
      <c r="N30" s="63"/>
      <c r="O30" s="65"/>
    </row>
    <row r="31" spans="1:15" ht="13.5" x14ac:dyDescent="0.15">
      <c r="A31" s="64"/>
      <c r="B31" s="63"/>
      <c r="C31" s="63"/>
      <c r="D31" s="63"/>
      <c r="E31" s="63"/>
      <c r="F31" s="65"/>
      <c r="G31" s="66"/>
      <c r="H31" s="63"/>
      <c r="I31" s="63"/>
      <c r="J31" s="63"/>
      <c r="K31" s="65"/>
      <c r="L31" s="65"/>
      <c r="M31" s="65"/>
      <c r="N31" s="63"/>
      <c r="O31" s="65"/>
    </row>
    <row r="32" spans="1:15" ht="13.5" x14ac:dyDescent="0.15">
      <c r="A32" s="64"/>
      <c r="B32" s="63"/>
      <c r="C32" s="63"/>
      <c r="D32" s="63"/>
      <c r="E32" s="63"/>
      <c r="F32" s="65"/>
      <c r="G32" s="66"/>
      <c r="H32" s="63"/>
      <c r="I32" s="63"/>
      <c r="J32" s="63"/>
      <c r="K32" s="65"/>
      <c r="L32" s="65"/>
      <c r="M32" s="65"/>
      <c r="N32" s="63"/>
      <c r="O32" s="65"/>
    </row>
    <row r="33" spans="1:15" ht="13.5" x14ac:dyDescent="0.15">
      <c r="A33" s="64"/>
      <c r="B33" s="63"/>
      <c r="C33" s="63"/>
      <c r="D33" s="63"/>
      <c r="E33" s="63"/>
      <c r="F33" s="65"/>
      <c r="G33" s="66"/>
      <c r="H33" s="63"/>
      <c r="I33" s="63"/>
      <c r="J33" s="63"/>
      <c r="K33" s="65"/>
      <c r="L33" s="65"/>
      <c r="M33" s="65"/>
      <c r="N33" s="63"/>
      <c r="O33" s="65"/>
    </row>
    <row r="34" spans="1:15" ht="13.5" x14ac:dyDescent="0.15">
      <c r="A34" s="64"/>
      <c r="B34" s="63"/>
      <c r="C34" s="63"/>
      <c r="D34" s="63"/>
      <c r="E34" s="65"/>
      <c r="F34" s="65"/>
      <c r="G34" s="65"/>
      <c r="H34" s="63"/>
      <c r="I34" s="65"/>
      <c r="J34" s="63"/>
      <c r="K34" s="65"/>
      <c r="L34" s="65"/>
      <c r="M34" s="65"/>
      <c r="N34" s="63"/>
      <c r="O34" s="65"/>
    </row>
    <row r="35" spans="1:15" ht="13.5" x14ac:dyDescent="0.15">
      <c r="A35" s="64"/>
      <c r="B35" s="63"/>
      <c r="C35" s="63"/>
      <c r="D35" s="63"/>
      <c r="E35" s="63"/>
      <c r="F35" s="65"/>
      <c r="G35" s="63"/>
      <c r="H35" s="63"/>
      <c r="I35" s="63"/>
      <c r="J35" s="63"/>
      <c r="K35" s="65"/>
      <c r="L35" s="65"/>
      <c r="M35" s="65"/>
      <c r="N35" s="63"/>
      <c r="O35" s="65"/>
    </row>
    <row r="36" spans="1:15" ht="13.5" x14ac:dyDescent="0.15">
      <c r="A36" s="64"/>
      <c r="B36" s="63"/>
      <c r="C36" s="63"/>
      <c r="D36" s="63"/>
      <c r="E36" s="63"/>
      <c r="F36" s="65"/>
      <c r="G36" s="63"/>
      <c r="H36" s="63"/>
      <c r="I36" s="63"/>
      <c r="J36" s="63"/>
      <c r="K36" s="65"/>
      <c r="L36" s="65"/>
      <c r="M36" s="65"/>
      <c r="N36" s="63"/>
      <c r="O36" s="65"/>
    </row>
    <row r="37" spans="1:15" ht="13.5" x14ac:dyDescent="0.15">
      <c r="A37" s="64"/>
      <c r="B37" s="63"/>
      <c r="C37" s="63"/>
      <c r="D37" s="63"/>
      <c r="E37" s="63"/>
      <c r="F37" s="65"/>
      <c r="G37" s="63"/>
      <c r="H37" s="63"/>
      <c r="I37" s="63"/>
      <c r="J37" s="63"/>
      <c r="K37" s="65"/>
      <c r="L37" s="65"/>
      <c r="M37" s="65"/>
      <c r="N37" s="63"/>
      <c r="O37" s="65"/>
    </row>
    <row r="38" spans="1:15" ht="13.5" x14ac:dyDescent="0.15">
      <c r="A38" s="64"/>
      <c r="B38" s="63"/>
      <c r="C38" s="63"/>
      <c r="D38" s="63"/>
      <c r="E38" s="63"/>
      <c r="F38" s="65"/>
      <c r="G38" s="63"/>
      <c r="H38" s="63"/>
      <c r="I38" s="63"/>
      <c r="J38" s="63"/>
      <c r="K38" s="65"/>
      <c r="L38" s="65"/>
      <c r="M38" s="65"/>
      <c r="N38" s="63"/>
      <c r="O38" s="65"/>
    </row>
    <row r="39" spans="1:15" ht="13.5" x14ac:dyDescent="0.15">
      <c r="A39" s="64"/>
      <c r="B39" s="63"/>
      <c r="C39" s="63"/>
      <c r="D39" s="63"/>
      <c r="E39" s="63"/>
      <c r="F39" s="65"/>
      <c r="G39" s="63"/>
      <c r="H39" s="63"/>
      <c r="I39" s="63"/>
      <c r="J39" s="63"/>
      <c r="K39" s="65"/>
      <c r="L39" s="65"/>
      <c r="M39" s="65"/>
      <c r="N39" s="63"/>
      <c r="O39" s="65"/>
    </row>
    <row r="40" spans="1:15" ht="13.5" x14ac:dyDescent="0.15">
      <c r="A40" s="64"/>
      <c r="B40" s="63"/>
      <c r="C40" s="63"/>
      <c r="D40" s="63"/>
      <c r="E40" s="63"/>
      <c r="F40" s="65"/>
      <c r="G40" s="63"/>
      <c r="H40" s="63"/>
      <c r="I40" s="63"/>
      <c r="J40" s="63"/>
      <c r="K40" s="65"/>
      <c r="L40" s="65"/>
      <c r="M40" s="65"/>
      <c r="N40" s="63"/>
      <c r="O40" s="65"/>
    </row>
    <row r="41" spans="1:15" ht="13.5" x14ac:dyDescent="0.15">
      <c r="A41" s="64"/>
      <c r="B41" s="6"/>
      <c r="C41" s="63"/>
      <c r="D41" s="63"/>
      <c r="E41" s="63"/>
      <c r="F41" s="65"/>
      <c r="G41" s="66"/>
      <c r="H41" s="63"/>
      <c r="I41" s="63"/>
      <c r="J41" s="63"/>
      <c r="K41" s="65"/>
      <c r="L41" s="65"/>
      <c r="M41" s="65"/>
      <c r="N41" s="65"/>
      <c r="O41" s="65"/>
    </row>
    <row r="42" spans="1:15" ht="13.5" x14ac:dyDescent="0.15">
      <c r="A42" s="64"/>
      <c r="B42" s="63"/>
      <c r="C42" s="63"/>
      <c r="D42" s="63"/>
      <c r="E42" s="63"/>
      <c r="F42" s="65"/>
      <c r="G42" s="63"/>
      <c r="H42" s="63"/>
      <c r="I42" s="63"/>
      <c r="J42" s="63"/>
      <c r="K42" s="65"/>
      <c r="L42" s="65"/>
      <c r="M42" s="65"/>
      <c r="N42" s="63"/>
      <c r="O42" s="65"/>
    </row>
    <row r="43" spans="1:15" ht="13.5" x14ac:dyDescent="0.15">
      <c r="A43" s="64"/>
      <c r="B43" s="63"/>
      <c r="C43" s="63"/>
      <c r="D43" s="63"/>
      <c r="E43" s="63"/>
      <c r="F43" s="65"/>
      <c r="G43" s="63"/>
      <c r="H43" s="63"/>
      <c r="I43" s="63"/>
      <c r="J43" s="63"/>
      <c r="K43" s="65"/>
      <c r="L43" s="65"/>
      <c r="M43" s="65"/>
      <c r="N43" s="63"/>
      <c r="O43" s="65"/>
    </row>
    <row r="44" spans="1:15" ht="13.5" x14ac:dyDescent="0.15">
      <c r="A44" s="64"/>
      <c r="B44" s="6"/>
      <c r="C44" s="63"/>
      <c r="D44" s="63"/>
      <c r="E44" s="65"/>
      <c r="F44" s="65"/>
      <c r="G44" s="65"/>
      <c r="H44" s="63"/>
      <c r="I44" s="65"/>
      <c r="J44" s="63"/>
      <c r="K44" s="65"/>
      <c r="L44" s="65"/>
      <c r="M44" s="65"/>
      <c r="N44" s="65"/>
      <c r="O44" s="65"/>
    </row>
    <row r="45" spans="1:15" ht="13.5" x14ac:dyDescent="0.15">
      <c r="A45" s="3"/>
      <c r="B45" s="2"/>
      <c r="C45" s="2"/>
      <c r="D45" s="2"/>
      <c r="E45" s="2"/>
      <c r="G45" s="2"/>
      <c r="H45" s="2"/>
      <c r="I45" s="2"/>
      <c r="J45" s="2"/>
      <c r="N45" s="2"/>
    </row>
    <row r="46" spans="1:15" ht="13.5" x14ac:dyDescent="0.15">
      <c r="A46" s="3"/>
      <c r="B46" s="2"/>
      <c r="C46" s="2"/>
      <c r="D46" s="2"/>
      <c r="E46" s="2"/>
      <c r="G46" s="2"/>
      <c r="H46" s="2"/>
      <c r="I46" s="2"/>
      <c r="J46" s="2"/>
      <c r="N46" s="2"/>
    </row>
    <row r="47" spans="1:15" ht="13.5" x14ac:dyDescent="0.15">
      <c r="A47" s="3"/>
      <c r="B47" s="2"/>
      <c r="C47" s="2"/>
      <c r="D47" s="2"/>
      <c r="E47" s="2"/>
      <c r="G47" s="2"/>
      <c r="H47" s="2"/>
      <c r="I47" s="2"/>
      <c r="J47" s="2"/>
      <c r="N47" s="2"/>
    </row>
    <row r="48" spans="1:15" ht="13.5" x14ac:dyDescent="0.15">
      <c r="A48" s="3"/>
      <c r="B48" s="2"/>
      <c r="C48" s="2"/>
      <c r="D48" s="2"/>
      <c r="E48" s="2"/>
      <c r="G48" s="2"/>
      <c r="H48" s="2"/>
      <c r="I48" s="2"/>
      <c r="J48" s="2"/>
      <c r="N48" s="2"/>
    </row>
    <row r="49" spans="1:14" ht="13.5" x14ac:dyDescent="0.15">
      <c r="A49" s="3"/>
      <c r="B49" s="2"/>
      <c r="C49" s="2"/>
      <c r="D49" s="2"/>
      <c r="H49" s="2"/>
      <c r="J49" s="2"/>
      <c r="N49" s="2"/>
    </row>
    <row r="50" spans="1:14" ht="13.5" x14ac:dyDescent="0.15">
      <c r="A50" s="3"/>
      <c r="B50" s="2"/>
      <c r="C50" s="2"/>
      <c r="D50" s="2"/>
      <c r="H50" s="2"/>
      <c r="J50" s="2"/>
    </row>
    <row r="51" spans="1:14" ht="13.5" x14ac:dyDescent="0.15">
      <c r="A51" s="3"/>
      <c r="B51" s="2"/>
      <c r="C51" s="2"/>
      <c r="D51" s="2"/>
      <c r="E51" s="2"/>
      <c r="G51" s="2"/>
      <c r="H51" s="2"/>
      <c r="I51" s="2"/>
      <c r="J51" s="2"/>
      <c r="N51" s="2"/>
    </row>
    <row r="52" spans="1:14" ht="13.5" x14ac:dyDescent="0.15">
      <c r="A52" s="3"/>
      <c r="B52" s="2"/>
      <c r="C52" s="2"/>
      <c r="D52" s="2"/>
      <c r="E52" s="2"/>
      <c r="G52" s="2"/>
      <c r="H52" s="2"/>
      <c r="I52" s="2"/>
      <c r="J52" s="2"/>
      <c r="N52" s="2"/>
    </row>
    <row r="53" spans="1:14" ht="13.5" x14ac:dyDescent="0.15">
      <c r="A53" s="3"/>
      <c r="B53" s="2"/>
      <c r="C53" s="2"/>
      <c r="D53" s="2"/>
      <c r="E53" s="2"/>
      <c r="G53" s="2"/>
      <c r="H53" s="2"/>
      <c r="I53" s="2"/>
      <c r="J53" s="2"/>
      <c r="N53" s="2"/>
    </row>
    <row r="54" spans="1:14" ht="13.5" x14ac:dyDescent="0.15">
      <c r="A54" s="3"/>
      <c r="B54" s="2"/>
      <c r="C54" s="2"/>
      <c r="D54" s="2"/>
      <c r="E54" s="2"/>
      <c r="G54" s="5"/>
      <c r="H54" s="2"/>
      <c r="I54" s="2"/>
      <c r="J54" s="5"/>
      <c r="N54" s="5"/>
    </row>
    <row r="55" spans="1:14" ht="13.5" x14ac:dyDescent="0.15">
      <c r="A55" s="3"/>
      <c r="B55" s="2"/>
      <c r="C55" s="2"/>
      <c r="D55" s="2"/>
      <c r="E55" s="2"/>
      <c r="G55" s="2"/>
      <c r="H55" s="2"/>
      <c r="I55" s="2"/>
      <c r="J55" s="2"/>
      <c r="N55" s="2"/>
    </row>
    <row r="56" spans="1:14" ht="13.5" x14ac:dyDescent="0.15">
      <c r="A56" s="3"/>
      <c r="B56" s="2"/>
      <c r="C56" s="2"/>
      <c r="D56" s="2"/>
      <c r="H56" s="2"/>
      <c r="J56" s="2"/>
      <c r="N56" s="2"/>
    </row>
    <row r="57" spans="1:14" ht="13.5" x14ac:dyDescent="0.15">
      <c r="A57" s="3"/>
      <c r="B57" s="2"/>
      <c r="C57" s="2"/>
      <c r="D57" s="2"/>
      <c r="H57" s="2"/>
      <c r="J57" s="2"/>
    </row>
    <row r="58" spans="1:14" ht="13.5" x14ac:dyDescent="0.15">
      <c r="A58" s="3"/>
      <c r="B58" s="2"/>
      <c r="C58" s="2"/>
      <c r="D58" s="2"/>
      <c r="E58" s="2"/>
      <c r="G58" s="2"/>
      <c r="H58" s="2"/>
      <c r="I58" s="2"/>
      <c r="J58" s="2"/>
      <c r="N58" s="2"/>
    </row>
    <row r="59" spans="1:14" ht="13.5" x14ac:dyDescent="0.15">
      <c r="A59" s="3"/>
      <c r="B59" s="2"/>
      <c r="C59" s="2"/>
      <c r="D59" s="2"/>
      <c r="E59" s="2"/>
      <c r="G59" s="2"/>
      <c r="H59" s="2"/>
      <c r="I59" s="2"/>
      <c r="J59" s="2"/>
      <c r="N59" s="2"/>
    </row>
    <row r="60" spans="1:14" ht="13.5" x14ac:dyDescent="0.15">
      <c r="A60" s="3"/>
      <c r="B60" s="2"/>
      <c r="C60" s="2"/>
      <c r="D60" s="2"/>
      <c r="E60" s="2"/>
      <c r="G60" s="5"/>
      <c r="H60" s="2"/>
      <c r="I60" s="2"/>
      <c r="J60" s="2"/>
      <c r="N60" s="2"/>
    </row>
    <row r="61" spans="1:14" ht="13.5" x14ac:dyDescent="0.15">
      <c r="A61" s="3"/>
      <c r="B61" s="2"/>
      <c r="C61" s="2"/>
      <c r="D61" s="2"/>
      <c r="E61" s="2"/>
      <c r="G61" s="2"/>
      <c r="H61" s="2"/>
      <c r="I61" s="2"/>
      <c r="J61" s="2"/>
      <c r="N61" s="2"/>
    </row>
    <row r="62" spans="1:14" ht="13.5" x14ac:dyDescent="0.15">
      <c r="A62" s="3"/>
      <c r="B62" s="2"/>
      <c r="C62" s="2"/>
      <c r="D62" s="2"/>
      <c r="E62" s="2"/>
      <c r="G62" s="2"/>
      <c r="H62" s="2"/>
      <c r="I62" s="2"/>
      <c r="J62" s="2"/>
      <c r="N62" s="2"/>
    </row>
    <row r="63" spans="1:14" ht="13.5" x14ac:dyDescent="0.15">
      <c r="A63" s="3"/>
      <c r="B63" s="6"/>
      <c r="C63" s="2"/>
      <c r="D63" s="2"/>
      <c r="E63" s="2"/>
      <c r="G63" s="5"/>
      <c r="H63" s="2"/>
      <c r="I63" s="2"/>
      <c r="J63" s="2"/>
    </row>
    <row r="64" spans="1:14" ht="13.5" x14ac:dyDescent="0.15">
      <c r="A64" s="3"/>
      <c r="B64" s="2"/>
      <c r="C64" s="2"/>
      <c r="D64" s="2"/>
      <c r="E64" s="2"/>
      <c r="G64" s="2"/>
      <c r="H64" s="2"/>
      <c r="I64" s="2"/>
      <c r="J64" s="2"/>
      <c r="N64" s="2"/>
    </row>
    <row r="65" spans="1:14" ht="13.5" x14ac:dyDescent="0.15">
      <c r="A65" s="3"/>
      <c r="B65" s="2"/>
      <c r="C65" s="2"/>
      <c r="D65" s="2"/>
      <c r="E65" s="2"/>
      <c r="G65" s="2"/>
      <c r="H65" s="2"/>
      <c r="I65" s="2"/>
      <c r="J65" s="2"/>
      <c r="N65" s="2"/>
    </row>
    <row r="66" spans="1:14" ht="13.5" x14ac:dyDescent="0.15">
      <c r="A66" s="3"/>
      <c r="B66" s="2"/>
      <c r="C66" s="2"/>
      <c r="D66" s="2"/>
      <c r="E66" s="2"/>
      <c r="G66" s="2"/>
      <c r="H66" s="2"/>
      <c r="I66" s="2"/>
      <c r="J66" s="2"/>
      <c r="N66" s="2"/>
    </row>
    <row r="67" spans="1:14" ht="13.5" x14ac:dyDescent="0.15">
      <c r="A67" s="3"/>
      <c r="B67" s="2"/>
      <c r="C67" s="2"/>
      <c r="D67" s="2"/>
      <c r="E67" s="2"/>
      <c r="G67" s="2"/>
      <c r="H67" s="2"/>
      <c r="I67" s="2"/>
      <c r="J67" s="2"/>
      <c r="N67" s="2"/>
    </row>
    <row r="68" spans="1:14" ht="13.5" x14ac:dyDescent="0.15">
      <c r="A68" s="3"/>
      <c r="B68" s="2"/>
      <c r="C68" s="2"/>
      <c r="D68" s="2"/>
      <c r="E68" s="2"/>
      <c r="G68" s="2"/>
      <c r="H68" s="2"/>
      <c r="I68" s="2"/>
      <c r="J68" s="2"/>
      <c r="N68" s="2"/>
    </row>
    <row r="69" spans="1:14" ht="13.5" x14ac:dyDescent="0.15">
      <c r="A69" s="3"/>
      <c r="B69" s="2"/>
      <c r="C69" s="2"/>
      <c r="D69" s="2"/>
      <c r="E69" s="2"/>
      <c r="G69" s="2"/>
      <c r="H69" s="2"/>
      <c r="I69" s="2"/>
      <c r="J69" s="2"/>
      <c r="N69" s="2"/>
    </row>
    <row r="70" spans="1:14" ht="13.5" x14ac:dyDescent="0.15">
      <c r="A70" s="3"/>
      <c r="B70" s="2"/>
      <c r="C70" s="2"/>
      <c r="D70" s="2"/>
      <c r="E70" s="2"/>
      <c r="G70" s="2"/>
      <c r="H70" s="2"/>
      <c r="I70" s="2"/>
      <c r="J70" s="2"/>
      <c r="N70" s="2"/>
    </row>
    <row r="71" spans="1:14" ht="13.5" x14ac:dyDescent="0.15">
      <c r="A71" s="3"/>
      <c r="B71" s="2"/>
      <c r="C71" s="2"/>
      <c r="D71" s="2"/>
      <c r="E71" s="2"/>
      <c r="G71" s="2"/>
      <c r="H71" s="2"/>
      <c r="I71" s="2"/>
      <c r="J71" s="2"/>
      <c r="N71" s="2"/>
    </row>
    <row r="72" spans="1:14" ht="13.5" x14ac:dyDescent="0.15">
      <c r="A72" s="3"/>
      <c r="B72" s="2"/>
      <c r="C72" s="2"/>
      <c r="D72" s="2"/>
      <c r="E72" s="2"/>
      <c r="G72" s="2"/>
      <c r="H72" s="2"/>
      <c r="I72" s="2"/>
      <c r="J72" s="2"/>
      <c r="N72" s="2"/>
    </row>
    <row r="73" spans="1:14" ht="13.5" x14ac:dyDescent="0.15">
      <c r="A73" s="3"/>
      <c r="B73" s="2"/>
      <c r="C73" s="2"/>
      <c r="D73" s="2"/>
      <c r="H73" s="2"/>
      <c r="J73" s="2"/>
    </row>
    <row r="74" spans="1:14" ht="13.5" x14ac:dyDescent="0.15">
      <c r="A74" s="3"/>
      <c r="B74" s="2"/>
      <c r="C74" s="2"/>
      <c r="D74" s="2"/>
      <c r="E74" s="2"/>
      <c r="G74" s="2"/>
      <c r="H74" s="2"/>
      <c r="I74" s="2"/>
      <c r="J74" s="2"/>
      <c r="N74" s="2"/>
    </row>
    <row r="75" spans="1:14" ht="13.5" x14ac:dyDescent="0.15">
      <c r="A75" s="3"/>
      <c r="B75" s="2"/>
      <c r="C75" s="2"/>
      <c r="D75" s="2"/>
      <c r="E75" s="2"/>
      <c r="G75" s="2"/>
      <c r="H75" s="2"/>
      <c r="I75" s="2"/>
      <c r="J75" s="2"/>
      <c r="N75" s="2"/>
    </row>
    <row r="76" spans="1:14" ht="13.5" x14ac:dyDescent="0.15">
      <c r="A76" s="3"/>
      <c r="B76" s="2"/>
      <c r="C76" s="2"/>
      <c r="D76" s="2"/>
      <c r="E76" s="2"/>
      <c r="G76" s="2"/>
      <c r="H76" s="2"/>
      <c r="I76" s="2"/>
      <c r="J76" s="2"/>
      <c r="N76" s="2"/>
    </row>
    <row r="77" spans="1:14" ht="13.5" x14ac:dyDescent="0.15">
      <c r="A77" s="3"/>
      <c r="B77" s="2"/>
      <c r="C77" s="2"/>
      <c r="D77" s="2"/>
      <c r="E77" s="2"/>
      <c r="G77" s="5"/>
      <c r="H77" s="2"/>
      <c r="I77" s="2"/>
      <c r="J77" s="2"/>
      <c r="N77" s="2"/>
    </row>
    <row r="78" spans="1:14" ht="13.5" x14ac:dyDescent="0.15">
      <c r="A78" s="3"/>
      <c r="B78" s="2"/>
      <c r="C78" s="2"/>
      <c r="D78" s="2"/>
      <c r="H78" s="2"/>
      <c r="J78" s="2"/>
      <c r="N78" s="2"/>
    </row>
    <row r="79" spans="1:14" ht="13.5" x14ac:dyDescent="0.15">
      <c r="A79" s="3"/>
      <c r="B79" s="2"/>
      <c r="C79" s="2"/>
      <c r="D79" s="2"/>
      <c r="E79" s="2"/>
      <c r="G79" s="2"/>
      <c r="H79" s="2"/>
      <c r="I79" s="2"/>
      <c r="J79" s="2"/>
      <c r="N79" s="2"/>
    </row>
    <row r="80" spans="1:14" ht="13.5" x14ac:dyDescent="0.15">
      <c r="A80" s="3"/>
      <c r="B80" s="2"/>
      <c r="C80" s="2"/>
      <c r="D80" s="2"/>
      <c r="E80" s="2"/>
      <c r="G80" s="2"/>
      <c r="H80" s="2"/>
      <c r="I80" s="2"/>
      <c r="J80" s="2"/>
      <c r="N80" s="2"/>
    </row>
    <row r="81" spans="1:14" ht="13.5" x14ac:dyDescent="0.15">
      <c r="A81" s="3"/>
      <c r="B81" s="2"/>
      <c r="C81" s="2"/>
      <c r="D81" s="2"/>
      <c r="E81" s="2"/>
      <c r="G81" s="2"/>
      <c r="H81" s="2"/>
      <c r="I81" s="2"/>
      <c r="J81" s="2"/>
      <c r="N81" s="2"/>
    </row>
    <row r="82" spans="1:14" ht="13.5" x14ac:dyDescent="0.15">
      <c r="A82" s="3"/>
      <c r="B82" s="2"/>
      <c r="C82" s="2"/>
      <c r="D82" s="2"/>
      <c r="E82" s="2"/>
      <c r="G82" s="5"/>
      <c r="H82" s="2"/>
      <c r="I82" s="2"/>
      <c r="J82" s="2"/>
      <c r="N82" s="2"/>
    </row>
    <row r="83" spans="1:14" ht="13.5" x14ac:dyDescent="0.15">
      <c r="A83" s="3"/>
      <c r="B83" s="2"/>
      <c r="C83" s="2"/>
      <c r="D83" s="2"/>
      <c r="E83" s="2"/>
      <c r="G83" s="2"/>
      <c r="H83" s="2"/>
      <c r="I83" s="2"/>
      <c r="J83" s="2"/>
      <c r="N83" s="2"/>
    </row>
    <row r="84" spans="1:14" ht="13.5" x14ac:dyDescent="0.15">
      <c r="A84" s="3"/>
      <c r="B84" s="2"/>
      <c r="C84" s="2"/>
      <c r="D84" s="2"/>
      <c r="E84" s="2"/>
      <c r="G84" s="2"/>
      <c r="H84" s="2"/>
      <c r="I84" s="2"/>
      <c r="J84" s="2"/>
    </row>
    <row r="85" spans="1:14" ht="13.5" x14ac:dyDescent="0.15">
      <c r="A85" s="3"/>
      <c r="B85" s="2"/>
      <c r="C85" s="2"/>
      <c r="D85" s="2"/>
      <c r="E85" s="2"/>
      <c r="G85" s="5"/>
      <c r="H85" s="2"/>
      <c r="I85" s="2"/>
      <c r="J85" s="2"/>
    </row>
    <row r="86" spans="1:14" ht="13.5" x14ac:dyDescent="0.15">
      <c r="A86" s="3"/>
      <c r="B86" s="2"/>
      <c r="C86" s="2"/>
      <c r="D86" s="2"/>
      <c r="H86" s="2"/>
      <c r="J86" s="2"/>
    </row>
    <row r="87" spans="1:14" ht="13.5" x14ac:dyDescent="0.15">
      <c r="A87" s="3"/>
      <c r="B87" s="2"/>
      <c r="C87" s="2"/>
      <c r="D87" s="2"/>
      <c r="E87" s="2"/>
      <c r="G87" s="5"/>
      <c r="H87" s="2"/>
      <c r="I87" s="2"/>
      <c r="J87" s="2"/>
      <c r="N87" s="2"/>
    </row>
    <row r="88" spans="1:14" ht="13.5" x14ac:dyDescent="0.15">
      <c r="A88" s="3"/>
      <c r="B88" s="2"/>
      <c r="C88" s="2"/>
      <c r="D88" s="2"/>
      <c r="E88" s="2"/>
      <c r="G88" s="2"/>
      <c r="H88" s="2"/>
      <c r="I88" s="2"/>
      <c r="J88" s="2"/>
      <c r="N88" s="2"/>
    </row>
    <row r="89" spans="1:14" ht="13.5" x14ac:dyDescent="0.15">
      <c r="A89" s="3"/>
      <c r="B89" s="2"/>
      <c r="C89" s="2"/>
      <c r="D89" s="2"/>
      <c r="E89" s="2"/>
      <c r="G89" s="2"/>
      <c r="H89" s="2"/>
      <c r="I89" s="2"/>
      <c r="J89" s="2"/>
      <c r="N89" s="2"/>
    </row>
    <row r="90" spans="1:14" ht="13.5" x14ac:dyDescent="0.15">
      <c r="A90" s="3"/>
      <c r="B90" s="2"/>
      <c r="C90" s="2"/>
      <c r="D90" s="2"/>
      <c r="E90" s="2"/>
      <c r="G90" s="2"/>
      <c r="H90" s="2"/>
      <c r="I90" s="2"/>
      <c r="J90" s="2"/>
      <c r="N90" s="2"/>
    </row>
    <row r="91" spans="1:14" ht="13.5" x14ac:dyDescent="0.15">
      <c r="A91" s="3"/>
      <c r="B91" s="2"/>
      <c r="C91" s="2"/>
      <c r="D91" s="2"/>
      <c r="E91" s="2"/>
      <c r="G91" s="2"/>
      <c r="H91" s="2"/>
      <c r="I91" s="2"/>
      <c r="J91" s="2"/>
      <c r="N91" s="2"/>
    </row>
    <row r="92" spans="1:14" ht="13.5" x14ac:dyDescent="0.15">
      <c r="A92" s="3"/>
      <c r="B92" s="2"/>
      <c r="C92" s="2"/>
      <c r="D92" s="2"/>
      <c r="H92" s="2"/>
      <c r="J92" s="2"/>
      <c r="N92" s="2"/>
    </row>
    <row r="93" spans="1:14" ht="13.5" x14ac:dyDescent="0.15">
      <c r="A93" s="3"/>
      <c r="B93" s="2"/>
      <c r="C93" s="2"/>
      <c r="D93" s="2"/>
      <c r="E93" s="2"/>
      <c r="G93" s="2"/>
      <c r="H93" s="2"/>
      <c r="I93" s="2"/>
      <c r="J93" s="2"/>
      <c r="N93" s="2"/>
    </row>
    <row r="94" spans="1:14" ht="13.5" x14ac:dyDescent="0.15">
      <c r="A94" s="3"/>
      <c r="B94" s="2"/>
      <c r="C94" s="2"/>
      <c r="D94" s="2"/>
      <c r="E94" s="2"/>
      <c r="G94" s="2"/>
      <c r="H94" s="2"/>
      <c r="I94" s="2"/>
      <c r="J94" s="2"/>
      <c r="N94" s="2"/>
    </row>
    <row r="95" spans="1:14" ht="13.5" x14ac:dyDescent="0.15">
      <c r="A95" s="3"/>
      <c r="B95" s="2"/>
      <c r="C95" s="2"/>
      <c r="D95" s="2"/>
      <c r="E95" s="2"/>
      <c r="G95" s="5"/>
      <c r="H95" s="2"/>
      <c r="I95" s="2"/>
      <c r="J95" s="2"/>
      <c r="N95" s="2"/>
    </row>
    <row r="96" spans="1:14" ht="13.5" x14ac:dyDescent="0.15">
      <c r="A96" s="3"/>
      <c r="B96" s="2"/>
      <c r="C96" s="2"/>
      <c r="D96" s="2"/>
      <c r="E96" s="2"/>
      <c r="G96" s="2"/>
      <c r="H96" s="2"/>
      <c r="I96" s="2"/>
      <c r="J96" s="2"/>
    </row>
    <row r="97" spans="1:14" ht="13.5" x14ac:dyDescent="0.15">
      <c r="A97" s="3"/>
      <c r="B97" s="2"/>
      <c r="C97" s="2"/>
      <c r="D97" s="2"/>
      <c r="E97" s="2"/>
      <c r="G97" s="5"/>
      <c r="H97" s="2"/>
      <c r="I97" s="2"/>
      <c r="J97" s="2"/>
      <c r="N97" s="2"/>
    </row>
    <row r="98" spans="1:14" ht="13.5" x14ac:dyDescent="0.15">
      <c r="A98" s="3"/>
      <c r="B98" s="2"/>
      <c r="C98" s="2"/>
      <c r="D98" s="2"/>
      <c r="E98" s="2"/>
      <c r="G98" s="2"/>
      <c r="H98" s="2"/>
      <c r="I98" s="2"/>
      <c r="J98" s="2"/>
    </row>
    <row r="99" spans="1:14" ht="13.5" x14ac:dyDescent="0.15">
      <c r="A99" s="3"/>
      <c r="B99" s="2"/>
      <c r="C99" s="2"/>
      <c r="D99" s="2"/>
      <c r="E99" s="2"/>
      <c r="G99" s="2"/>
      <c r="H99" s="2"/>
      <c r="I99" s="2"/>
      <c r="J99" s="2"/>
      <c r="N99" s="2"/>
    </row>
    <row r="100" spans="1:14" ht="13.5" x14ac:dyDescent="0.15">
      <c r="A100" s="3"/>
      <c r="B100" s="2"/>
      <c r="C100" s="2"/>
      <c r="D100" s="2"/>
      <c r="E100" s="2"/>
      <c r="G100" s="5"/>
      <c r="H100" s="2"/>
      <c r="I100" s="2"/>
      <c r="J100" s="2"/>
      <c r="N100" s="2"/>
    </row>
    <row r="101" spans="1:14" ht="13.5" x14ac:dyDescent="0.15">
      <c r="A101" s="3"/>
      <c r="B101" s="2"/>
      <c r="C101" s="2"/>
      <c r="D101" s="2"/>
      <c r="H101" s="2"/>
      <c r="J101" s="2"/>
    </row>
    <row r="102" spans="1:14" ht="13.5" x14ac:dyDescent="0.15">
      <c r="A102" s="3"/>
      <c r="B102" s="2"/>
      <c r="C102" s="2"/>
      <c r="D102" s="2"/>
      <c r="E102" s="2"/>
      <c r="G102" s="2"/>
      <c r="H102" s="2"/>
      <c r="I102" s="2"/>
      <c r="J102" s="2"/>
      <c r="N102" s="2"/>
    </row>
    <row r="103" spans="1:14" ht="13.5" x14ac:dyDescent="0.15">
      <c r="A103" s="3"/>
      <c r="B103" s="2"/>
      <c r="C103" s="2"/>
      <c r="D103" s="2"/>
      <c r="E103" s="2"/>
      <c r="G103" s="2"/>
      <c r="H103" s="2"/>
      <c r="I103" s="2"/>
      <c r="J103" s="2"/>
      <c r="N103" s="2"/>
    </row>
    <row r="104" spans="1:14" ht="13.5" x14ac:dyDescent="0.15">
      <c r="A104" s="3"/>
      <c r="B104" s="2"/>
      <c r="C104" s="2"/>
      <c r="D104" s="2"/>
      <c r="E104" s="2"/>
      <c r="G104" s="2"/>
      <c r="H104" s="2"/>
      <c r="I104" s="2"/>
      <c r="J104" s="2"/>
    </row>
    <row r="105" spans="1:14" ht="13.5" x14ac:dyDescent="0.15">
      <c r="A105" s="3"/>
      <c r="B105" s="2"/>
      <c r="C105" s="2"/>
      <c r="D105" s="2"/>
      <c r="E105" s="2"/>
      <c r="G105" s="2"/>
      <c r="H105" s="2"/>
      <c r="I105" s="2"/>
      <c r="J105" s="2"/>
      <c r="N105" s="2"/>
    </row>
    <row r="106" spans="1:14" ht="13.5" x14ac:dyDescent="0.15">
      <c r="A106" s="3"/>
      <c r="B106" s="2"/>
      <c r="C106" s="2"/>
      <c r="D106" s="2"/>
      <c r="E106" s="2"/>
      <c r="G106" s="2"/>
      <c r="H106" s="2"/>
      <c r="I106" s="2"/>
      <c r="J106" s="2"/>
      <c r="N106" s="2"/>
    </row>
    <row r="107" spans="1:14" ht="13.5" x14ac:dyDescent="0.15">
      <c r="A107" s="3"/>
      <c r="B107" s="2"/>
      <c r="C107" s="2"/>
      <c r="D107" s="2"/>
      <c r="E107" s="2"/>
      <c r="G107" s="2"/>
      <c r="H107" s="2"/>
      <c r="I107" s="2"/>
      <c r="J107" s="2"/>
      <c r="N107" s="2"/>
    </row>
    <row r="108" spans="1:14" ht="13.5" x14ac:dyDescent="0.15">
      <c r="A108" s="3"/>
      <c r="B108" s="2"/>
      <c r="C108" s="2"/>
      <c r="D108" s="2"/>
      <c r="E108" s="2"/>
      <c r="G108" s="5"/>
      <c r="H108" s="2"/>
      <c r="I108" s="2"/>
      <c r="J108" s="2"/>
      <c r="N108" s="2"/>
    </row>
    <row r="109" spans="1:14" ht="13.5" x14ac:dyDescent="0.15">
      <c r="A109" s="3"/>
      <c r="B109" s="2"/>
      <c r="C109" s="2"/>
      <c r="D109" s="2"/>
      <c r="E109" s="2"/>
      <c r="G109" s="2"/>
      <c r="H109" s="2"/>
      <c r="I109" s="2"/>
      <c r="J109" s="2"/>
      <c r="N109" s="2"/>
    </row>
    <row r="110" spans="1:14" ht="13.5" x14ac:dyDescent="0.15">
      <c r="A110" s="3"/>
      <c r="B110" s="2"/>
      <c r="C110" s="2"/>
      <c r="D110" s="2"/>
      <c r="E110" s="2"/>
      <c r="G110" s="2"/>
      <c r="H110" s="2"/>
      <c r="I110" s="2"/>
      <c r="J110" s="2"/>
      <c r="N110" s="2"/>
    </row>
    <row r="111" spans="1:14" ht="13.5" x14ac:dyDescent="0.15">
      <c r="A111" s="3"/>
      <c r="B111" s="2"/>
      <c r="C111" s="2"/>
      <c r="D111" s="2"/>
      <c r="E111" s="2"/>
      <c r="G111" s="2"/>
      <c r="H111" s="2"/>
      <c r="I111" s="2"/>
      <c r="J111" s="2"/>
      <c r="N111" s="2"/>
    </row>
    <row r="112" spans="1:14" ht="13.5" x14ac:dyDescent="0.15">
      <c r="A112" s="3"/>
      <c r="B112" s="2"/>
      <c r="C112" s="2"/>
      <c r="D112" s="2"/>
      <c r="E112" s="2"/>
      <c r="G112" s="2"/>
      <c r="H112" s="2"/>
      <c r="I112" s="2"/>
      <c r="J112" s="2"/>
      <c r="N112" s="2"/>
    </row>
    <row r="113" spans="1:14" ht="13.5" x14ac:dyDescent="0.15">
      <c r="A113" s="3"/>
      <c r="B113" s="2"/>
      <c r="C113" s="2"/>
      <c r="D113" s="2"/>
      <c r="E113" s="2"/>
      <c r="G113" s="2"/>
      <c r="H113" s="2"/>
      <c r="I113" s="2"/>
      <c r="J113" s="2"/>
      <c r="N113" s="2"/>
    </row>
    <row r="114" spans="1:14" ht="13.5" x14ac:dyDescent="0.15">
      <c r="A114" s="3"/>
      <c r="B114" s="2"/>
      <c r="C114" s="2"/>
      <c r="D114" s="2"/>
      <c r="H114" s="2"/>
      <c r="J114" s="2"/>
    </row>
    <row r="115" spans="1:14" ht="13.5" x14ac:dyDescent="0.15">
      <c r="A115" s="3"/>
      <c r="B115" s="2"/>
      <c r="C115" s="2"/>
      <c r="D115" s="2"/>
      <c r="E115" s="2"/>
      <c r="G115" s="2"/>
      <c r="H115" s="2"/>
      <c r="I115" s="2"/>
      <c r="J115" s="2"/>
      <c r="N115" s="2"/>
    </row>
    <row r="116" spans="1:14" ht="13.5" x14ac:dyDescent="0.15">
      <c r="A116" s="3"/>
      <c r="B116" s="2"/>
      <c r="C116" s="2"/>
      <c r="D116" s="2"/>
      <c r="E116" s="2"/>
      <c r="G116" s="2"/>
      <c r="H116" s="2"/>
      <c r="I116" s="2"/>
      <c r="J116" s="2"/>
      <c r="N116" s="2"/>
    </row>
    <row r="117" spans="1:14" ht="13.5" x14ac:dyDescent="0.15">
      <c r="A117" s="3"/>
      <c r="B117" s="2"/>
      <c r="C117" s="2"/>
      <c r="D117" s="2"/>
      <c r="E117" s="2"/>
      <c r="G117" s="2"/>
      <c r="H117" s="2"/>
      <c r="I117" s="2"/>
      <c r="J117" s="2"/>
      <c r="N117" s="2"/>
    </row>
    <row r="118" spans="1:14" ht="13.5" x14ac:dyDescent="0.15">
      <c r="A118" s="3"/>
      <c r="B118" s="2"/>
      <c r="C118" s="2"/>
      <c r="D118" s="2"/>
      <c r="E118" s="2"/>
      <c r="G118" s="2"/>
      <c r="H118" s="2"/>
      <c r="I118" s="2"/>
      <c r="J118" s="2"/>
      <c r="N118" s="2"/>
    </row>
    <row r="119" spans="1:14" ht="13.5" x14ac:dyDescent="0.15">
      <c r="A119" s="3"/>
      <c r="B119" s="2"/>
      <c r="C119" s="2"/>
      <c r="D119" s="2"/>
      <c r="E119" s="2"/>
      <c r="G119" s="2"/>
      <c r="H119" s="2"/>
      <c r="I119" s="2"/>
      <c r="J119" s="2"/>
      <c r="N119" s="2"/>
    </row>
    <row r="120" spans="1:14" ht="13.5" x14ac:dyDescent="0.15">
      <c r="A120" s="3"/>
      <c r="B120" s="2"/>
      <c r="C120" s="2"/>
      <c r="D120" s="2"/>
      <c r="E120" s="2"/>
      <c r="G120" s="2"/>
      <c r="H120" s="2"/>
      <c r="I120" s="2"/>
      <c r="J120" s="2"/>
      <c r="N120" s="2"/>
    </row>
    <row r="121" spans="1:14" ht="13.5" x14ac:dyDescent="0.15">
      <c r="A121" s="3"/>
      <c r="B121" s="2"/>
      <c r="C121" s="2"/>
      <c r="D121" s="2"/>
      <c r="E121" s="2"/>
      <c r="G121" s="2"/>
      <c r="H121" s="2"/>
      <c r="I121" s="2"/>
      <c r="J121" s="2"/>
      <c r="N121" s="2"/>
    </row>
    <row r="122" spans="1:14" ht="13.5" x14ac:dyDescent="0.15">
      <c r="A122" s="3"/>
      <c r="B122" s="2"/>
      <c r="C122" s="2"/>
      <c r="D122" s="2"/>
      <c r="H122" s="2"/>
      <c r="J122" s="2"/>
      <c r="N122" s="2"/>
    </row>
    <row r="123" spans="1:14" ht="13.5" x14ac:dyDescent="0.15">
      <c r="A123" s="3"/>
      <c r="B123" s="2"/>
      <c r="C123" s="2"/>
      <c r="D123" s="2"/>
      <c r="H123" s="2"/>
      <c r="J123" s="2"/>
      <c r="N123" s="2"/>
    </row>
    <row r="124" spans="1:14" ht="13.5" x14ac:dyDescent="0.15">
      <c r="A124" s="3"/>
      <c r="B124" s="2"/>
      <c r="C124" s="2"/>
      <c r="D124" s="2"/>
      <c r="E124" s="2"/>
      <c r="G124" s="2"/>
      <c r="H124" s="2"/>
      <c r="I124" s="2"/>
      <c r="J124" s="2"/>
      <c r="N124" s="2"/>
    </row>
    <row r="125" spans="1:14" ht="13.5" x14ac:dyDescent="0.15">
      <c r="A125" s="3"/>
      <c r="B125" s="2"/>
      <c r="C125" s="2"/>
      <c r="D125" s="2"/>
      <c r="E125" s="2"/>
      <c r="G125" s="2"/>
      <c r="H125" s="2"/>
      <c r="I125" s="2"/>
      <c r="J125" s="2"/>
      <c r="N125" s="2"/>
    </row>
    <row r="126" spans="1:14" ht="13.5" x14ac:dyDescent="0.15">
      <c r="A126" s="3"/>
      <c r="B126" s="2"/>
      <c r="C126" s="2"/>
      <c r="D126" s="2"/>
      <c r="E126" s="2"/>
      <c r="G126" s="2"/>
      <c r="H126" s="2"/>
      <c r="I126" s="2"/>
      <c r="J126" s="2"/>
      <c r="N126" s="2"/>
    </row>
    <row r="127" spans="1:14" ht="13.5" x14ac:dyDescent="0.15">
      <c r="A127" s="3"/>
      <c r="B127" s="2"/>
      <c r="C127" s="2"/>
      <c r="D127" s="2"/>
      <c r="E127" s="2"/>
      <c r="G127" s="2"/>
      <c r="H127" s="2"/>
      <c r="I127" s="2"/>
      <c r="J127" s="2"/>
    </row>
    <row r="128" spans="1:14" ht="13.5" x14ac:dyDescent="0.15">
      <c r="A128" s="3"/>
      <c r="B128" s="2"/>
      <c r="C128" s="2"/>
      <c r="D128" s="2"/>
      <c r="E128" s="2"/>
      <c r="G128" s="2"/>
      <c r="H128" s="2"/>
      <c r="I128" s="2"/>
      <c r="J128" s="2"/>
      <c r="N128" s="2"/>
    </row>
    <row r="129" spans="1:14" ht="13.5" x14ac:dyDescent="0.15">
      <c r="A129" s="3"/>
      <c r="B129" s="2"/>
      <c r="C129" s="2"/>
      <c r="D129" s="2"/>
      <c r="E129" s="2"/>
      <c r="G129" s="2"/>
      <c r="H129" s="2"/>
      <c r="I129" s="2"/>
      <c r="J129" s="2"/>
      <c r="N129" s="2"/>
    </row>
    <row r="130" spans="1:14" ht="13.5" x14ac:dyDescent="0.15">
      <c r="A130" s="3"/>
      <c r="B130" s="2"/>
      <c r="C130" s="2"/>
      <c r="D130" s="2"/>
      <c r="E130" s="2"/>
      <c r="G130" s="2"/>
      <c r="H130" s="2"/>
      <c r="I130" s="2"/>
      <c r="J130" s="2"/>
      <c r="N130" s="2"/>
    </row>
    <row r="131" spans="1:14" ht="13.5" x14ac:dyDescent="0.15">
      <c r="A131" s="3"/>
      <c r="B131" s="2"/>
      <c r="C131" s="2"/>
      <c r="D131" s="2"/>
      <c r="E131" s="2"/>
      <c r="G131" s="2"/>
      <c r="H131" s="2"/>
      <c r="I131" s="2"/>
      <c r="J131" s="2"/>
      <c r="N131" s="2"/>
    </row>
    <row r="132" spans="1:14" ht="13.5" x14ac:dyDescent="0.15">
      <c r="A132" s="3"/>
      <c r="B132" s="2"/>
      <c r="C132" s="2"/>
      <c r="D132" s="2"/>
      <c r="E132" s="2"/>
      <c r="G132" s="2"/>
      <c r="H132" s="2"/>
      <c r="I132" s="2"/>
      <c r="J132" s="2"/>
      <c r="N132" s="2"/>
    </row>
    <row r="133" spans="1:14" ht="13.5" x14ac:dyDescent="0.15">
      <c r="A133" s="3"/>
      <c r="B133" s="2"/>
      <c r="C133" s="2"/>
      <c r="D133" s="2"/>
      <c r="E133" s="2"/>
      <c r="G133" s="2"/>
      <c r="H133" s="2"/>
      <c r="I133" s="2"/>
      <c r="J133" s="2"/>
      <c r="N133" s="2"/>
    </row>
    <row r="134" spans="1:14" ht="13.5" x14ac:dyDescent="0.15">
      <c r="A134" s="3"/>
      <c r="B134" s="2"/>
      <c r="C134" s="2"/>
      <c r="D134" s="2"/>
      <c r="E134" s="2"/>
      <c r="G134" s="2"/>
      <c r="H134" s="2"/>
      <c r="I134" s="2"/>
      <c r="J134" s="2"/>
      <c r="N134" s="2"/>
    </row>
    <row r="135" spans="1:14" ht="13.5" x14ac:dyDescent="0.15">
      <c r="A135" s="3"/>
      <c r="B135" s="2"/>
      <c r="C135" s="2"/>
      <c r="D135" s="2"/>
      <c r="E135" s="2"/>
      <c r="G135" s="5"/>
      <c r="H135" s="2"/>
      <c r="I135" s="2"/>
      <c r="J135" s="2"/>
    </row>
    <row r="136" spans="1:14" ht="13.5" x14ac:dyDescent="0.15">
      <c r="A136" s="3"/>
      <c r="B136" s="2"/>
      <c r="C136" s="2"/>
      <c r="D136" s="2"/>
      <c r="E136" s="2"/>
      <c r="G136" s="2"/>
      <c r="H136" s="2"/>
      <c r="I136" s="2"/>
      <c r="J136" s="2"/>
      <c r="N136" s="2"/>
    </row>
    <row r="137" spans="1:14" ht="13.5" x14ac:dyDescent="0.15">
      <c r="A137" s="3"/>
      <c r="B137" s="2"/>
      <c r="C137" s="2"/>
      <c r="D137" s="2"/>
      <c r="E137" s="2"/>
      <c r="G137" s="2"/>
      <c r="H137" s="2"/>
      <c r="I137" s="2"/>
      <c r="J137" s="2"/>
      <c r="N137" s="2"/>
    </row>
    <row r="138" spans="1:14" ht="13.5" x14ac:dyDescent="0.15">
      <c r="A138" s="3"/>
      <c r="B138" s="2"/>
      <c r="C138" s="2"/>
      <c r="D138" s="2"/>
      <c r="E138" s="2"/>
      <c r="G138" s="2"/>
      <c r="H138" s="2"/>
      <c r="I138" s="2"/>
      <c r="J138" s="2"/>
      <c r="N138" s="2"/>
    </row>
    <row r="139" spans="1:14" ht="13.5" x14ac:dyDescent="0.15">
      <c r="A139" s="3"/>
      <c r="B139" s="2"/>
      <c r="C139" s="2"/>
      <c r="D139" s="2"/>
      <c r="E139" s="2"/>
      <c r="G139" s="2"/>
      <c r="H139" s="2"/>
      <c r="I139" s="2"/>
      <c r="J139" s="2"/>
      <c r="N139" s="2"/>
    </row>
    <row r="140" spans="1:14" ht="13.5" x14ac:dyDescent="0.15">
      <c r="A140" s="3"/>
      <c r="B140" s="2"/>
      <c r="C140" s="2"/>
      <c r="G140" s="5"/>
    </row>
    <row r="141" spans="1:14" ht="13.5" x14ac:dyDescent="0.15">
      <c r="A141" s="3"/>
      <c r="B141" s="2"/>
      <c r="C141" s="2"/>
      <c r="D141" s="2"/>
      <c r="E141" s="2"/>
      <c r="G141" s="2"/>
      <c r="H141" s="2"/>
      <c r="I141" s="2"/>
      <c r="J141" s="2"/>
      <c r="N141" s="2"/>
    </row>
    <row r="142" spans="1:14" ht="13.5" x14ac:dyDescent="0.15">
      <c r="A142" s="3"/>
      <c r="B142" s="2"/>
      <c r="C142" s="2"/>
      <c r="D142" s="2"/>
      <c r="E142" s="2"/>
      <c r="G142" s="2"/>
      <c r="H142" s="2"/>
      <c r="I142" s="2"/>
      <c r="J142" s="2"/>
      <c r="N142" s="2"/>
    </row>
    <row r="143" spans="1:14" ht="13.5" x14ac:dyDescent="0.15">
      <c r="A143" s="3"/>
      <c r="B143" s="6"/>
      <c r="C143" s="2"/>
      <c r="D143" s="2"/>
      <c r="H143" s="2"/>
      <c r="J143" s="2"/>
    </row>
    <row r="144" spans="1:14" ht="13.5" x14ac:dyDescent="0.15">
      <c r="A144" s="3"/>
      <c r="B144" s="2"/>
      <c r="C144" s="2"/>
      <c r="D144" s="2"/>
      <c r="E144" s="2"/>
      <c r="G144" s="5"/>
      <c r="H144" s="2"/>
      <c r="I144" s="2"/>
      <c r="J144" s="2"/>
      <c r="N144" s="2"/>
    </row>
    <row r="145" spans="1:14" ht="13.5" x14ac:dyDescent="0.15">
      <c r="A145" s="3"/>
      <c r="B145" s="2"/>
      <c r="C145" s="2"/>
      <c r="D145" s="2"/>
      <c r="E145" s="2"/>
      <c r="G145" s="5"/>
      <c r="H145" s="2"/>
      <c r="I145" s="2"/>
      <c r="J145" s="5"/>
      <c r="N145" s="5"/>
    </row>
    <row r="146" spans="1:14" ht="13.5" x14ac:dyDescent="0.15">
      <c r="A146" s="3"/>
      <c r="B146" s="2"/>
      <c r="C146" s="2"/>
      <c r="D146" s="2"/>
      <c r="E146" s="2"/>
      <c r="G146" s="2"/>
      <c r="H146" s="2"/>
      <c r="I146" s="2"/>
      <c r="J146" s="2"/>
    </row>
    <row r="147" spans="1:14" ht="13.5" x14ac:dyDescent="0.15">
      <c r="A147" s="3"/>
      <c r="B147" s="2"/>
      <c r="C147" s="2"/>
      <c r="D147" s="2"/>
      <c r="E147" s="2"/>
      <c r="G147" s="2"/>
      <c r="H147" s="2"/>
      <c r="I147" s="2"/>
      <c r="J147" s="2"/>
      <c r="N147" s="2"/>
    </row>
    <row r="148" spans="1:14" ht="13.5" x14ac:dyDescent="0.15">
      <c r="A148" s="3"/>
      <c r="B148" s="2"/>
      <c r="C148" s="2"/>
      <c r="D148" s="2"/>
      <c r="E148" s="2"/>
      <c r="G148" s="2"/>
      <c r="H148" s="2"/>
      <c r="I148" s="2"/>
      <c r="J148" s="2"/>
      <c r="N148" s="2"/>
    </row>
    <row r="149" spans="1:14" ht="13.5" x14ac:dyDescent="0.15">
      <c r="A149" s="3"/>
      <c r="B149" s="2"/>
      <c r="C149" s="2"/>
      <c r="D149" s="2"/>
      <c r="E149" s="2"/>
      <c r="G149" s="2"/>
      <c r="H149" s="2"/>
      <c r="I149" s="2"/>
      <c r="J149" s="2"/>
      <c r="N149" s="2"/>
    </row>
    <row r="150" spans="1:14" ht="13.5" x14ac:dyDescent="0.15">
      <c r="A150" s="3"/>
      <c r="B150" s="2"/>
      <c r="C150" s="2"/>
      <c r="D150" s="2"/>
      <c r="E150" s="2"/>
      <c r="G150" s="2"/>
      <c r="H150" s="2"/>
      <c r="I150" s="2"/>
      <c r="J150" s="2"/>
      <c r="N150" s="2"/>
    </row>
    <row r="151" spans="1:14" ht="13.5" x14ac:dyDescent="0.15">
      <c r="A151" s="3"/>
      <c r="B151" s="2"/>
      <c r="C151" s="2"/>
      <c r="D151" s="2"/>
      <c r="E151" s="2"/>
      <c r="G151" s="2"/>
      <c r="H151" s="2"/>
      <c r="I151" s="2"/>
      <c r="J151" s="2"/>
      <c r="N151" s="2"/>
    </row>
    <row r="152" spans="1:14" ht="13.5" x14ac:dyDescent="0.15">
      <c r="A152" s="3"/>
      <c r="B152" s="2"/>
      <c r="C152" s="2"/>
      <c r="D152" s="2"/>
      <c r="E152" s="2"/>
      <c r="G152" s="2"/>
      <c r="H152" s="2"/>
      <c r="I152" s="2"/>
      <c r="J152" s="2"/>
    </row>
    <row r="153" spans="1:14" ht="13.5" x14ac:dyDescent="0.15">
      <c r="A153" s="3"/>
      <c r="B153" s="2"/>
      <c r="C153" s="2"/>
      <c r="D153" s="2"/>
      <c r="E153" s="2"/>
      <c r="G153" s="2"/>
      <c r="H153" s="2"/>
      <c r="I153" s="2"/>
      <c r="J153" s="2"/>
      <c r="N153" s="2"/>
    </row>
    <row r="154" spans="1:14" ht="13.5" x14ac:dyDescent="0.15">
      <c r="A154" s="3"/>
      <c r="B154" s="2"/>
      <c r="C154" s="2"/>
      <c r="D154" s="2"/>
      <c r="E154" s="2"/>
      <c r="G154" s="5"/>
      <c r="H154" s="2"/>
      <c r="I154" s="2"/>
      <c r="J154" s="2"/>
      <c r="N154" s="2"/>
    </row>
    <row r="155" spans="1:14" ht="13.5" x14ac:dyDescent="0.15">
      <c r="A155" s="3"/>
      <c r="B155" s="2"/>
      <c r="C155" s="2"/>
      <c r="D155" s="2"/>
      <c r="E155" s="2"/>
      <c r="G155" s="5"/>
      <c r="H155" s="2"/>
      <c r="I155" s="2"/>
      <c r="J155" s="2"/>
      <c r="N155" s="2"/>
    </row>
    <row r="156" spans="1:14" ht="13.5" x14ac:dyDescent="0.15">
      <c r="A156" s="3"/>
      <c r="B156" s="2"/>
      <c r="C156" s="2"/>
      <c r="D156" s="2"/>
      <c r="E156" s="2"/>
      <c r="G156" s="5"/>
      <c r="H156" s="2"/>
      <c r="I156" s="2"/>
      <c r="J156" s="2"/>
      <c r="N156" s="2"/>
    </row>
    <row r="157" spans="1:14" ht="13.5" x14ac:dyDescent="0.15">
      <c r="A157" s="3"/>
      <c r="B157" s="2"/>
      <c r="C157" s="2"/>
      <c r="D157" s="2"/>
      <c r="E157" s="2"/>
      <c r="G157" s="2"/>
      <c r="H157" s="2"/>
      <c r="I157" s="2"/>
      <c r="J157" s="2"/>
      <c r="N157" s="2"/>
    </row>
    <row r="158" spans="1:14" ht="13.5" x14ac:dyDescent="0.15">
      <c r="A158" s="3"/>
      <c r="B158" s="2"/>
      <c r="C158" s="2"/>
      <c r="D158" s="2"/>
      <c r="E158" s="2"/>
      <c r="G158" s="5"/>
      <c r="H158" s="2"/>
      <c r="I158" s="2"/>
      <c r="J158" s="2"/>
      <c r="N158" s="2"/>
    </row>
    <row r="159" spans="1:14" ht="13.5" x14ac:dyDescent="0.15">
      <c r="A159" s="3"/>
      <c r="B159" s="2"/>
      <c r="C159" s="2"/>
      <c r="D159" s="2"/>
      <c r="E159" s="2"/>
      <c r="G159" s="2"/>
      <c r="H159" s="2"/>
      <c r="I159" s="2"/>
      <c r="J159" s="2"/>
      <c r="N159" s="2"/>
    </row>
    <row r="160" spans="1:14" ht="13.5" x14ac:dyDescent="0.15">
      <c r="A160" s="3"/>
      <c r="B160" s="2"/>
      <c r="C160" s="2"/>
      <c r="D160" s="2"/>
      <c r="E160" s="2"/>
      <c r="G160" s="2"/>
      <c r="H160" s="2"/>
      <c r="I160" s="2"/>
      <c r="J160" s="2"/>
      <c r="N160" s="2"/>
    </row>
    <row r="161" spans="1:14" ht="13.5" x14ac:dyDescent="0.15">
      <c r="A161" s="3"/>
      <c r="B161" s="2"/>
      <c r="C161" s="2"/>
      <c r="D161" s="2"/>
      <c r="E161" s="2"/>
      <c r="G161" s="2"/>
      <c r="H161" s="2"/>
      <c r="I161" s="2"/>
      <c r="J161" s="2"/>
      <c r="N161" s="2"/>
    </row>
    <row r="162" spans="1:14" ht="13.5" x14ac:dyDescent="0.15">
      <c r="A162" s="3"/>
      <c r="B162" s="2"/>
      <c r="C162" s="2"/>
      <c r="D162" s="2"/>
      <c r="E162" s="2"/>
      <c r="G162" s="2"/>
      <c r="H162" s="2"/>
      <c r="I162" s="2"/>
      <c r="J162" s="2"/>
      <c r="N162" s="2"/>
    </row>
    <row r="163" spans="1:14" ht="13.5" x14ac:dyDescent="0.15">
      <c r="A163" s="3"/>
      <c r="B163" s="2"/>
      <c r="C163" s="2"/>
      <c r="D163" s="2"/>
      <c r="E163" s="2"/>
      <c r="G163" s="2"/>
      <c r="H163" s="2"/>
      <c r="I163" s="2"/>
      <c r="J163" s="2"/>
      <c r="N163" s="2"/>
    </row>
    <row r="164" spans="1:14" ht="13.5" x14ac:dyDescent="0.15">
      <c r="A164" s="3"/>
      <c r="B164" s="2"/>
      <c r="C164" s="2"/>
      <c r="D164" s="2"/>
      <c r="E164" s="2"/>
      <c r="G164" s="2"/>
      <c r="H164" s="2"/>
      <c r="I164" s="2"/>
      <c r="J164" s="2"/>
      <c r="N164" s="2"/>
    </row>
    <row r="165" spans="1:14" ht="13.5" x14ac:dyDescent="0.15">
      <c r="A165" s="3"/>
      <c r="B165" s="2"/>
      <c r="C165" s="2"/>
      <c r="D165" s="2"/>
      <c r="E165" s="2"/>
      <c r="G165" s="5"/>
      <c r="H165" s="2"/>
      <c r="I165" s="2"/>
      <c r="J165" s="2"/>
      <c r="N165" s="2"/>
    </row>
    <row r="166" spans="1:14" ht="13.5" x14ac:dyDescent="0.15">
      <c r="A166" s="3"/>
      <c r="B166" s="2"/>
      <c r="C166" s="2"/>
      <c r="D166" s="2"/>
      <c r="H166" s="2"/>
      <c r="J166" s="2"/>
      <c r="N166" s="2"/>
    </row>
    <row r="167" spans="1:14" ht="13.5" x14ac:dyDescent="0.15">
      <c r="A167" s="3"/>
      <c r="B167" s="2"/>
      <c r="C167" s="2"/>
      <c r="D167" s="2"/>
      <c r="E167" s="2"/>
      <c r="G167" s="2"/>
      <c r="H167" s="2"/>
      <c r="I167" s="2"/>
      <c r="J167" s="2"/>
      <c r="N167" s="2"/>
    </row>
    <row r="168" spans="1:14" ht="13.5" x14ac:dyDescent="0.15">
      <c r="A168" s="3"/>
      <c r="B168" s="2"/>
      <c r="C168" s="2"/>
      <c r="D168" s="2"/>
      <c r="E168" s="2"/>
      <c r="G168" s="5"/>
      <c r="H168" s="2"/>
      <c r="I168" s="2"/>
      <c r="J168" s="2"/>
      <c r="N168" s="2"/>
    </row>
    <row r="169" spans="1:14" ht="13.5" x14ac:dyDescent="0.15">
      <c r="A169" s="3"/>
      <c r="B169" s="2"/>
      <c r="C169" s="2"/>
      <c r="D169" s="2"/>
      <c r="E169" s="2"/>
      <c r="G169" s="2"/>
      <c r="H169" s="2"/>
      <c r="I169" s="2"/>
      <c r="J169" s="2"/>
      <c r="N169" s="2"/>
    </row>
    <row r="170" spans="1:14" ht="13.5" x14ac:dyDescent="0.15">
      <c r="A170" s="3"/>
      <c r="B170" s="2"/>
      <c r="C170" s="2"/>
      <c r="D170" s="2"/>
      <c r="E170" s="2"/>
      <c r="G170" s="2"/>
      <c r="H170" s="2"/>
      <c r="I170" s="2"/>
      <c r="J170" s="2"/>
      <c r="N170" s="2"/>
    </row>
    <row r="171" spans="1:14" ht="13.5" x14ac:dyDescent="0.15">
      <c r="A171" s="3"/>
      <c r="B171" s="2"/>
      <c r="C171" s="2"/>
      <c r="D171" s="2"/>
      <c r="E171" s="2"/>
      <c r="G171" s="5"/>
      <c r="H171" s="2"/>
      <c r="I171" s="2"/>
      <c r="J171" s="2"/>
      <c r="N171" s="2"/>
    </row>
    <row r="172" spans="1:14" ht="13.5" x14ac:dyDescent="0.15">
      <c r="A172" s="3"/>
      <c r="B172" s="2"/>
      <c r="C172" s="2"/>
      <c r="D172" s="2"/>
      <c r="E172" s="2"/>
      <c r="G172" s="2"/>
      <c r="H172" s="2"/>
      <c r="I172" s="2"/>
      <c r="J172" s="2"/>
      <c r="N172" s="2"/>
    </row>
    <row r="173" spans="1:14" ht="13.5" x14ac:dyDescent="0.15">
      <c r="A173" s="3"/>
      <c r="B173" s="2"/>
      <c r="C173" s="2"/>
      <c r="D173" s="2"/>
      <c r="E173" s="2"/>
      <c r="G173" s="2"/>
      <c r="H173" s="2"/>
      <c r="I173" s="2"/>
      <c r="J173" s="2"/>
      <c r="N173" s="2"/>
    </row>
    <row r="174" spans="1:14" ht="13.5" x14ac:dyDescent="0.15">
      <c r="A174" s="3"/>
      <c r="B174" s="2"/>
      <c r="C174" s="2"/>
      <c r="D174" s="2"/>
      <c r="E174" s="2"/>
      <c r="G174" s="2"/>
      <c r="H174" s="2"/>
      <c r="I174" s="2"/>
      <c r="J174" s="2"/>
      <c r="N174" s="2"/>
    </row>
    <row r="175" spans="1:14" ht="13.5" x14ac:dyDescent="0.15">
      <c r="A175" s="3"/>
      <c r="B175" s="2"/>
      <c r="C175" s="2"/>
      <c r="D175" s="2"/>
      <c r="E175" s="2"/>
      <c r="G175" s="2"/>
      <c r="H175" s="2"/>
      <c r="I175" s="2"/>
      <c r="J175" s="2"/>
      <c r="N175" s="2"/>
    </row>
    <row r="176" spans="1:14" ht="13.5" x14ac:dyDescent="0.15">
      <c r="A176" s="3"/>
      <c r="B176" s="2"/>
      <c r="C176" s="2"/>
      <c r="D176" s="2"/>
      <c r="E176" s="2"/>
      <c r="G176" s="2"/>
      <c r="H176" s="2"/>
      <c r="I176" s="2"/>
      <c r="J176" s="2"/>
      <c r="N176" s="2"/>
    </row>
    <row r="177" spans="1:14" ht="13.5" x14ac:dyDescent="0.15">
      <c r="A177" s="3"/>
      <c r="B177" s="2"/>
      <c r="C177" s="2"/>
      <c r="D177" s="2"/>
      <c r="E177" s="2"/>
      <c r="G177" s="2"/>
      <c r="H177" s="2"/>
      <c r="I177" s="2"/>
      <c r="J177" s="2"/>
      <c r="N177" s="2"/>
    </row>
    <row r="178" spans="1:14" ht="13.5" x14ac:dyDescent="0.15">
      <c r="A178" s="3"/>
      <c r="B178" s="2"/>
      <c r="C178" s="2"/>
      <c r="D178" s="2"/>
      <c r="E178" s="2"/>
      <c r="G178" s="5"/>
      <c r="H178" s="2"/>
      <c r="I178" s="2"/>
      <c r="J178" s="2"/>
      <c r="N178" s="2"/>
    </row>
    <row r="179" spans="1:14" ht="13.5" x14ac:dyDescent="0.15">
      <c r="A179" s="3"/>
      <c r="B179" s="2"/>
      <c r="C179" s="2"/>
      <c r="D179" s="2"/>
      <c r="E179" s="2"/>
      <c r="G179" s="2"/>
      <c r="H179" s="2"/>
      <c r="I179" s="2"/>
      <c r="J179" s="2"/>
    </row>
    <row r="180" spans="1:14" ht="13.5" x14ac:dyDescent="0.15">
      <c r="A180" s="3"/>
      <c r="B180" s="2"/>
      <c r="C180" s="2"/>
      <c r="D180" s="2"/>
      <c r="E180" s="2"/>
      <c r="G180" s="2"/>
      <c r="H180" s="2"/>
      <c r="I180" s="2"/>
      <c r="J180" s="2"/>
      <c r="N180" s="2"/>
    </row>
    <row r="181" spans="1:14" ht="13.5" x14ac:dyDescent="0.15">
      <c r="A181" s="3"/>
      <c r="B181" s="2"/>
      <c r="C181" s="2"/>
      <c r="D181" s="2"/>
      <c r="E181" s="2"/>
      <c r="G181" s="5"/>
      <c r="H181" s="2"/>
      <c r="I181" s="2"/>
      <c r="J181" s="2"/>
      <c r="N181" s="2"/>
    </row>
    <row r="182" spans="1:14" ht="13.5" x14ac:dyDescent="0.15">
      <c r="A182" s="3"/>
      <c r="B182" s="2"/>
      <c r="C182" s="2"/>
      <c r="D182" s="2"/>
      <c r="E182" s="2"/>
      <c r="G182" s="2"/>
      <c r="H182" s="2"/>
      <c r="I182" s="2"/>
      <c r="J182" s="2"/>
      <c r="N182" s="2"/>
    </row>
    <row r="183" spans="1:14" ht="13.5" x14ac:dyDescent="0.15">
      <c r="A183" s="3"/>
      <c r="B183" s="2"/>
      <c r="C183" s="2"/>
      <c r="D183" s="2"/>
      <c r="E183" s="2"/>
      <c r="G183" s="2"/>
      <c r="H183" s="2"/>
      <c r="I183" s="2"/>
      <c r="J183" s="2"/>
      <c r="N183" s="2"/>
    </row>
    <row r="184" spans="1:14" ht="13.5" x14ac:dyDescent="0.15">
      <c r="A184" s="3"/>
      <c r="B184" s="2"/>
      <c r="C184" s="2"/>
      <c r="D184" s="2"/>
      <c r="E184" s="2"/>
      <c r="G184" s="2"/>
      <c r="H184" s="2"/>
      <c r="I184" s="2"/>
      <c r="J184" s="2"/>
      <c r="N184" s="2"/>
    </row>
    <row r="185" spans="1:14" ht="13.5" x14ac:dyDescent="0.15">
      <c r="A185" s="3"/>
      <c r="B185" s="6"/>
      <c r="C185" s="2"/>
      <c r="D185" s="2"/>
      <c r="E185" s="2"/>
      <c r="G185" s="2"/>
      <c r="H185" s="2"/>
      <c r="I185" s="2"/>
      <c r="J185" s="2"/>
    </row>
    <row r="186" spans="1:14" ht="13.5" x14ac:dyDescent="0.15">
      <c r="A186" s="3"/>
      <c r="B186" s="2"/>
      <c r="C186" s="2"/>
      <c r="D186" s="2"/>
      <c r="E186" s="2"/>
      <c r="G186" s="2"/>
      <c r="H186" s="2"/>
      <c r="I186" s="2"/>
      <c r="J186" s="2"/>
      <c r="N186" s="2"/>
    </row>
    <row r="187" spans="1:14" ht="13.5" x14ac:dyDescent="0.15">
      <c r="A187" s="3"/>
      <c r="B187" s="2"/>
      <c r="C187" s="2"/>
      <c r="D187" s="2"/>
      <c r="E187" s="2"/>
      <c r="G187" s="2"/>
      <c r="H187" s="2"/>
      <c r="I187" s="2"/>
      <c r="J187" s="2"/>
      <c r="N187" s="2"/>
    </row>
    <row r="188" spans="1:14" ht="13.5" x14ac:dyDescent="0.15">
      <c r="A188" s="3"/>
      <c r="B188" s="2"/>
      <c r="C188" s="2"/>
      <c r="D188" s="2"/>
      <c r="E188" s="2"/>
      <c r="G188" s="2"/>
      <c r="H188" s="2"/>
      <c r="I188" s="2"/>
      <c r="J188" s="2"/>
      <c r="N188" s="2"/>
    </row>
    <row r="189" spans="1:14" ht="13.5" x14ac:dyDescent="0.15">
      <c r="A189" s="3"/>
      <c r="B189" s="2"/>
      <c r="C189" s="2"/>
      <c r="D189" s="2"/>
      <c r="E189" s="2"/>
      <c r="G189" s="2"/>
      <c r="H189" s="2"/>
      <c r="I189" s="2"/>
      <c r="J189" s="2"/>
      <c r="N189" s="2"/>
    </row>
    <row r="190" spans="1:14" ht="13.5" x14ac:dyDescent="0.15">
      <c r="A190" s="3"/>
      <c r="B190" s="2"/>
      <c r="C190" s="2"/>
      <c r="D190" s="2"/>
      <c r="E190" s="2"/>
      <c r="G190" s="2"/>
      <c r="H190" s="2"/>
      <c r="I190" s="2"/>
      <c r="J190" s="2"/>
      <c r="N190" s="2"/>
    </row>
    <row r="191" spans="1:14" ht="13.5" x14ac:dyDescent="0.15">
      <c r="A191" s="3"/>
      <c r="B191" s="2"/>
      <c r="C191" s="2"/>
      <c r="D191" s="2"/>
      <c r="H191" s="2"/>
      <c r="J191" s="2"/>
      <c r="N191" s="2"/>
    </row>
    <row r="192" spans="1:14" ht="13.5" x14ac:dyDescent="0.15">
      <c r="A192" s="3"/>
      <c r="B192" s="2"/>
      <c r="C192" s="2"/>
      <c r="D192" s="2"/>
      <c r="E192" s="2"/>
      <c r="G192" s="2"/>
      <c r="H192" s="2"/>
      <c r="I192" s="2"/>
      <c r="J192" s="2"/>
    </row>
    <row r="193" spans="1:14" ht="13.5" x14ac:dyDescent="0.15">
      <c r="A193" s="3"/>
      <c r="B193" s="2"/>
      <c r="C193" s="2"/>
      <c r="D193" s="2"/>
      <c r="E193" s="2"/>
      <c r="G193" s="2"/>
      <c r="H193" s="2"/>
      <c r="I193" s="2"/>
      <c r="J193" s="2"/>
    </row>
    <row r="194" spans="1:14" ht="13.5" x14ac:dyDescent="0.15">
      <c r="A194" s="3"/>
      <c r="B194" s="2"/>
      <c r="C194" s="2"/>
      <c r="D194" s="2"/>
      <c r="E194" s="2"/>
      <c r="G194" s="2"/>
      <c r="H194" s="2"/>
      <c r="I194" s="2"/>
      <c r="J194" s="2"/>
      <c r="N194" s="2"/>
    </row>
    <row r="195" spans="1:14" ht="13.5" x14ac:dyDescent="0.15">
      <c r="A195" s="3"/>
      <c r="B195" s="2"/>
      <c r="C195" s="2"/>
      <c r="D195" s="2"/>
      <c r="H195" s="2"/>
      <c r="J195" s="2"/>
      <c r="N195" s="2"/>
    </row>
    <row r="196" spans="1:14" ht="13.5" x14ac:dyDescent="0.15">
      <c r="A196" s="3"/>
      <c r="B196" s="2"/>
      <c r="C196" s="2"/>
      <c r="D196" s="2"/>
      <c r="E196" s="2"/>
      <c r="G196" s="2"/>
      <c r="H196" s="2"/>
      <c r="I196" s="2"/>
      <c r="J196" s="2"/>
      <c r="N196" s="2"/>
    </row>
    <row r="197" spans="1:14" ht="13.5" x14ac:dyDescent="0.15">
      <c r="A197" s="3"/>
      <c r="B197" s="2"/>
      <c r="C197" s="2"/>
      <c r="D197" s="2"/>
      <c r="E197" s="2"/>
      <c r="G197" s="2"/>
      <c r="H197" s="2"/>
      <c r="I197" s="2"/>
      <c r="J197" s="2"/>
      <c r="N197" s="2"/>
    </row>
    <row r="198" spans="1:14" ht="13.5" x14ac:dyDescent="0.15">
      <c r="A198" s="3"/>
      <c r="B198" s="2"/>
      <c r="C198" s="2"/>
      <c r="D198" s="2"/>
      <c r="E198" s="2"/>
      <c r="G198" s="2"/>
      <c r="H198" s="2"/>
      <c r="I198" s="2"/>
      <c r="J198" s="2"/>
      <c r="N198" s="2"/>
    </row>
    <row r="199" spans="1:14" ht="13.5" x14ac:dyDescent="0.15">
      <c r="A199" s="3"/>
      <c r="B199" s="2"/>
      <c r="C199" s="2"/>
      <c r="D199" s="2"/>
      <c r="E199" s="2"/>
      <c r="G199" s="2"/>
      <c r="H199" s="2"/>
      <c r="I199" s="2"/>
      <c r="J199" s="2"/>
      <c r="N199" s="2"/>
    </row>
    <row r="200" spans="1:14" ht="13.5" x14ac:dyDescent="0.15">
      <c r="A200" s="3"/>
      <c r="B200" s="2"/>
      <c r="C200" s="2"/>
      <c r="D200" s="2"/>
      <c r="E200" s="2"/>
      <c r="G200" s="2"/>
      <c r="H200" s="2"/>
      <c r="I200" s="2"/>
      <c r="J200" s="2"/>
      <c r="N200" s="2"/>
    </row>
    <row r="201" spans="1:14" ht="13.5" x14ac:dyDescent="0.15">
      <c r="A201" s="3"/>
      <c r="B201" s="2"/>
      <c r="C201" s="2"/>
      <c r="D201" s="2"/>
      <c r="E201" s="2"/>
      <c r="G201" s="2"/>
      <c r="H201" s="2"/>
      <c r="I201" s="2"/>
      <c r="J201" s="2"/>
      <c r="N201" s="2"/>
    </row>
    <row r="202" spans="1:14" ht="13.5" x14ac:dyDescent="0.15">
      <c r="A202" s="3"/>
      <c r="B202" s="2"/>
      <c r="C202" s="2"/>
      <c r="D202" s="2"/>
      <c r="E202" s="2"/>
      <c r="G202" s="2"/>
      <c r="H202" s="2"/>
      <c r="I202" s="2"/>
      <c r="J202" s="2"/>
      <c r="N202" s="2"/>
    </row>
    <row r="203" spans="1:14" ht="13.5" x14ac:dyDescent="0.15">
      <c r="A203" s="3"/>
      <c r="B203" s="2"/>
      <c r="C203" s="2"/>
      <c r="D203" s="2"/>
      <c r="E203" s="2"/>
      <c r="G203" s="5"/>
      <c r="H203" s="2"/>
      <c r="I203" s="2"/>
      <c r="J203" s="2"/>
      <c r="N203" s="2"/>
    </row>
    <row r="204" spans="1:14" ht="13.5" x14ac:dyDescent="0.15">
      <c r="A204" s="3"/>
      <c r="B204" s="2"/>
      <c r="C204" s="2"/>
      <c r="D204" s="2"/>
      <c r="E204" s="2"/>
      <c r="G204" s="2"/>
      <c r="H204" s="2"/>
      <c r="I204" s="2"/>
      <c r="N204" s="2"/>
    </row>
    <row r="205" spans="1:14" ht="13.5" x14ac:dyDescent="0.15">
      <c r="A205" s="3"/>
      <c r="B205" s="2"/>
      <c r="C205" s="2"/>
      <c r="D205" s="2"/>
      <c r="E205" s="2"/>
      <c r="G205" s="5"/>
      <c r="H205" s="2"/>
      <c r="I205" s="2"/>
      <c r="J205" s="2"/>
      <c r="N205" s="5"/>
    </row>
    <row r="206" spans="1:14" ht="13.5" x14ac:dyDescent="0.15">
      <c r="A206" s="3"/>
      <c r="B206" s="2"/>
      <c r="C206" s="2"/>
      <c r="D206" s="2"/>
      <c r="E206" s="2"/>
      <c r="G206" s="2"/>
      <c r="H206" s="2"/>
      <c r="I206" s="2"/>
      <c r="J206" s="2"/>
      <c r="N206" s="2"/>
    </row>
    <row r="207" spans="1:14" ht="13.5" x14ac:dyDescent="0.15">
      <c r="A207" s="3"/>
      <c r="B207" s="2"/>
      <c r="C207" s="2"/>
      <c r="D207" s="2"/>
      <c r="H207" s="2"/>
      <c r="J207" s="2"/>
      <c r="N207" s="2"/>
    </row>
    <row r="208" spans="1:14" ht="13.5" x14ac:dyDescent="0.15">
      <c r="A208" s="3"/>
      <c r="B208" s="2"/>
      <c r="C208" s="2"/>
      <c r="D208" s="2"/>
      <c r="E208" s="2"/>
      <c r="G208" s="2"/>
      <c r="H208" s="2"/>
      <c r="I208" s="2"/>
      <c r="J208" s="2"/>
      <c r="N208" s="2"/>
    </row>
    <row r="209" spans="1:14" ht="13.5" x14ac:dyDescent="0.15">
      <c r="A209" s="3"/>
      <c r="B209" s="2"/>
      <c r="C209" s="2"/>
      <c r="D209" s="2"/>
      <c r="E209" s="2"/>
      <c r="G209" s="2"/>
      <c r="H209" s="2"/>
      <c r="I209" s="2"/>
      <c r="J209" s="2"/>
      <c r="N209" s="2"/>
    </row>
    <row r="210" spans="1:14" ht="13.5" x14ac:dyDescent="0.15">
      <c r="A210" s="3"/>
      <c r="B210" s="2"/>
      <c r="C210" s="2"/>
      <c r="D210" s="2"/>
      <c r="E210" s="2"/>
      <c r="G210" s="2"/>
      <c r="H210" s="2"/>
      <c r="I210" s="2"/>
      <c r="J210" s="2"/>
      <c r="N210" s="2"/>
    </row>
    <row r="211" spans="1:14" ht="13.5" x14ac:dyDescent="0.15">
      <c r="A211" s="3"/>
      <c r="B211" s="2"/>
      <c r="C211" s="2"/>
      <c r="D211" s="2"/>
      <c r="E211" s="2"/>
      <c r="G211" s="2"/>
      <c r="H211" s="2"/>
      <c r="I211" s="2"/>
      <c r="J211" s="2"/>
      <c r="N211" s="2"/>
    </row>
    <row r="212" spans="1:14" ht="13.5" x14ac:dyDescent="0.15">
      <c r="A212" s="3"/>
      <c r="B212" s="2"/>
      <c r="C212" s="2"/>
      <c r="D212" s="2"/>
      <c r="E212" s="2"/>
      <c r="G212" s="5"/>
      <c r="H212" s="2"/>
      <c r="I212" s="2"/>
      <c r="J212" s="2"/>
      <c r="N212" s="2"/>
    </row>
    <row r="213" spans="1:14" ht="13.5" x14ac:dyDescent="0.15">
      <c r="A213" s="3"/>
      <c r="B213" s="2"/>
      <c r="C213" s="2"/>
      <c r="D213" s="2"/>
      <c r="E213" s="2"/>
      <c r="G213" s="2"/>
      <c r="H213" s="2"/>
      <c r="I213" s="2"/>
      <c r="J213" s="2"/>
      <c r="N213" s="2"/>
    </row>
    <row r="214" spans="1:14" ht="13.5" x14ac:dyDescent="0.15">
      <c r="A214" s="3"/>
      <c r="B214" s="2"/>
      <c r="C214" s="2"/>
      <c r="D214" s="2"/>
      <c r="E214" s="2"/>
      <c r="G214" s="2"/>
      <c r="H214" s="2"/>
      <c r="I214" s="2"/>
      <c r="J214" s="2"/>
      <c r="N214" s="2"/>
    </row>
    <row r="215" spans="1:14" ht="13.5" x14ac:dyDescent="0.15">
      <c r="A215" s="3"/>
      <c r="B215" s="2"/>
      <c r="C215" s="2"/>
      <c r="D215" s="2"/>
      <c r="E215" s="2"/>
      <c r="G215" s="5"/>
      <c r="H215" s="2"/>
      <c r="I215" s="2"/>
      <c r="J215" s="2"/>
      <c r="N215" s="2"/>
    </row>
    <row r="216" spans="1:14" ht="13.5" x14ac:dyDescent="0.15">
      <c r="A216" s="3"/>
      <c r="B216" s="2"/>
      <c r="C216" s="2"/>
      <c r="D216" s="2"/>
      <c r="E216" s="2"/>
      <c r="G216" s="2"/>
      <c r="H216" s="2"/>
      <c r="I216" s="2"/>
      <c r="J216" s="2"/>
      <c r="N216" s="2"/>
    </row>
    <row r="217" spans="1:14" ht="13.5" x14ac:dyDescent="0.15">
      <c r="A217" s="3"/>
      <c r="B217" s="2"/>
      <c r="C217" s="2"/>
      <c r="D217" s="2"/>
      <c r="E217" s="2"/>
      <c r="G217" s="2"/>
      <c r="H217" s="2"/>
      <c r="I217" s="2"/>
      <c r="J217" s="2"/>
      <c r="N217" s="2"/>
    </row>
    <row r="218" spans="1:14" ht="13.5" x14ac:dyDescent="0.15">
      <c r="A218" s="3"/>
      <c r="B218" s="2"/>
      <c r="C218" s="2"/>
      <c r="D218" s="2"/>
      <c r="E218" s="2"/>
      <c r="G218" s="2"/>
      <c r="H218" s="5"/>
      <c r="I218" s="2"/>
      <c r="J218" s="2"/>
      <c r="N218" s="2"/>
    </row>
    <row r="219" spans="1:14" ht="13.5" x14ac:dyDescent="0.15">
      <c r="A219" s="3"/>
      <c r="B219" s="2"/>
      <c r="C219" s="2"/>
      <c r="D219" s="2"/>
      <c r="H219" s="2"/>
      <c r="J219" s="2"/>
    </row>
    <row r="220" spans="1:14" ht="13.5" x14ac:dyDescent="0.15">
      <c r="A220" s="3"/>
      <c r="B220" s="2"/>
      <c r="C220" s="2"/>
      <c r="D220" s="2"/>
      <c r="E220" s="2"/>
      <c r="G220" s="5"/>
      <c r="H220" s="2"/>
      <c r="I220" s="2"/>
      <c r="J220" s="2"/>
    </row>
    <row r="221" spans="1:14" ht="13.5" x14ac:dyDescent="0.15">
      <c r="A221" s="3"/>
      <c r="B221" s="2"/>
      <c r="C221" s="2"/>
      <c r="D221" s="2"/>
      <c r="E221" s="2"/>
      <c r="G221" s="2"/>
      <c r="H221" s="2"/>
      <c r="I221" s="2"/>
      <c r="J221" s="2"/>
      <c r="N221" s="2"/>
    </row>
    <row r="222" spans="1:14" ht="13.5" x14ac:dyDescent="0.15">
      <c r="A222" s="3"/>
      <c r="B222" s="2"/>
      <c r="C222" s="2"/>
      <c r="D222" s="2"/>
      <c r="E222" s="2"/>
      <c r="G222" s="2"/>
      <c r="H222" s="2"/>
      <c r="I222" s="2"/>
      <c r="J222" s="2"/>
      <c r="N222" s="2"/>
    </row>
    <row r="223" spans="1:14" ht="13.5" x14ac:dyDescent="0.15">
      <c r="A223" s="3"/>
      <c r="B223" s="2"/>
      <c r="C223" s="2"/>
      <c r="D223" s="2"/>
      <c r="E223" s="2"/>
      <c r="G223" s="2"/>
      <c r="H223" s="2"/>
      <c r="I223" s="2"/>
      <c r="J223" s="2"/>
      <c r="N223" s="2"/>
    </row>
    <row r="224" spans="1:14" ht="13.5" x14ac:dyDescent="0.15">
      <c r="A224" s="3"/>
      <c r="B224" s="2"/>
      <c r="C224" s="2"/>
      <c r="D224" s="2"/>
      <c r="E224" s="2"/>
      <c r="G224" s="2"/>
      <c r="H224" s="2"/>
      <c r="I224" s="2"/>
      <c r="J224" s="2"/>
      <c r="N224" s="2"/>
    </row>
    <row r="225" spans="1:14" ht="13.5" x14ac:dyDescent="0.15">
      <c r="A225" s="3"/>
      <c r="B225" s="2"/>
      <c r="C225" s="2"/>
      <c r="D225" s="2"/>
      <c r="E225" s="2"/>
      <c r="G225" s="2"/>
      <c r="H225" s="2"/>
      <c r="I225" s="2"/>
      <c r="J225" s="2"/>
      <c r="N225" s="2"/>
    </row>
    <row r="226" spans="1:14" ht="13.5" x14ac:dyDescent="0.15">
      <c r="A226" s="3"/>
      <c r="B226" s="2"/>
      <c r="C226" s="2"/>
      <c r="H226" s="5"/>
    </row>
    <row r="227" spans="1:14" ht="13.5" x14ac:dyDescent="0.15">
      <c r="A227" s="3"/>
      <c r="B227" s="2"/>
      <c r="C227" s="2"/>
      <c r="D227" s="2"/>
      <c r="E227" s="2"/>
      <c r="G227" s="2"/>
      <c r="H227" s="2"/>
      <c r="I227" s="2"/>
      <c r="J227" s="2"/>
      <c r="N227" s="2"/>
    </row>
    <row r="228" spans="1:14" ht="13.5" x14ac:dyDescent="0.15">
      <c r="A228" s="3"/>
      <c r="B228" s="2"/>
      <c r="C228" s="2"/>
      <c r="D228" s="2"/>
      <c r="E228" s="2"/>
      <c r="G228" s="5"/>
      <c r="H228" s="2"/>
      <c r="I228" s="2"/>
      <c r="J228" s="2"/>
      <c r="N228" s="2"/>
    </row>
    <row r="229" spans="1:14" ht="13.5" x14ac:dyDescent="0.15">
      <c r="A229" s="3"/>
      <c r="B229" s="2"/>
      <c r="C229" s="2"/>
      <c r="D229" s="2"/>
      <c r="E229" s="2"/>
      <c r="G229" s="2"/>
      <c r="H229" s="2"/>
      <c r="I229" s="2"/>
      <c r="J229" s="2"/>
      <c r="N229" s="2"/>
    </row>
    <row r="230" spans="1:14" ht="13.5" x14ac:dyDescent="0.15">
      <c r="A230" s="3"/>
      <c r="B230" s="2"/>
      <c r="C230" s="2"/>
      <c r="D230" s="2"/>
      <c r="E230" s="2"/>
      <c r="G230" s="2"/>
      <c r="H230" s="2"/>
      <c r="I230" s="2"/>
      <c r="J230" s="2"/>
      <c r="N230" s="2"/>
    </row>
    <row r="231" spans="1:14" ht="13.5" x14ac:dyDescent="0.15">
      <c r="A231" s="3"/>
      <c r="B231" s="2"/>
      <c r="C231" s="2"/>
      <c r="D231" s="2"/>
      <c r="E231" s="2"/>
      <c r="G231" s="5"/>
      <c r="H231" s="2"/>
      <c r="I231" s="2"/>
      <c r="J231" s="5"/>
      <c r="N231" s="5"/>
    </row>
    <row r="232" spans="1:14" ht="13.5" x14ac:dyDescent="0.15">
      <c r="A232" s="3"/>
      <c r="B232" s="2"/>
      <c r="C232" s="2"/>
      <c r="D232" s="2"/>
      <c r="E232" s="2"/>
      <c r="G232" s="2"/>
      <c r="H232" s="2"/>
      <c r="I232" s="2"/>
      <c r="J232" s="2"/>
      <c r="N232" s="2"/>
    </row>
    <row r="233" spans="1:14" ht="13.5" x14ac:dyDescent="0.15">
      <c r="A233" s="3"/>
      <c r="B233" s="2"/>
      <c r="C233" s="2"/>
      <c r="D233" s="2"/>
      <c r="E233" s="2"/>
      <c r="G233" s="5"/>
      <c r="H233" s="2"/>
      <c r="I233" s="2"/>
      <c r="J233" s="5"/>
      <c r="N233" s="5"/>
    </row>
    <row r="234" spans="1:14" ht="13.5" x14ac:dyDescent="0.15">
      <c r="A234" s="3"/>
      <c r="B234" s="2"/>
      <c r="C234" s="2"/>
      <c r="D234" s="2"/>
      <c r="E234" s="2"/>
      <c r="G234" s="2"/>
      <c r="H234" s="2"/>
      <c r="I234" s="2"/>
      <c r="J234" s="2"/>
    </row>
    <row r="235" spans="1:14" ht="13.5" x14ac:dyDescent="0.15">
      <c r="A235" s="3"/>
      <c r="B235" s="2"/>
      <c r="C235" s="2"/>
      <c r="D235" s="2"/>
      <c r="E235" s="2"/>
      <c r="G235" s="2"/>
      <c r="H235" s="2"/>
      <c r="I235" s="2"/>
      <c r="J235" s="2"/>
      <c r="N235" s="2"/>
    </row>
    <row r="236" spans="1:14" ht="13.5" x14ac:dyDescent="0.15">
      <c r="A236" s="3"/>
      <c r="B236" s="2"/>
      <c r="C236" s="2"/>
      <c r="D236" s="2"/>
      <c r="E236" s="2"/>
      <c r="G236" s="2"/>
      <c r="H236" s="2"/>
      <c r="I236" s="2"/>
      <c r="J236" s="2"/>
    </row>
    <row r="237" spans="1:14" ht="13.5" x14ac:dyDescent="0.15">
      <c r="A237" s="3"/>
      <c r="B237" s="2"/>
      <c r="C237" s="2"/>
      <c r="D237" s="2"/>
      <c r="E237" s="2"/>
      <c r="G237" s="2"/>
      <c r="H237" s="2"/>
      <c r="I237" s="2"/>
      <c r="J237" s="2"/>
    </row>
    <row r="238" spans="1:14" ht="13.5" x14ac:dyDescent="0.15">
      <c r="A238" s="3"/>
      <c r="B238" s="2"/>
      <c r="C238" s="2"/>
      <c r="D238" s="2"/>
      <c r="E238" s="2"/>
      <c r="G238" s="5"/>
      <c r="H238" s="2"/>
      <c r="I238" s="2"/>
      <c r="J238" s="2"/>
    </row>
    <row r="239" spans="1:14" ht="13.5" x14ac:dyDescent="0.15">
      <c r="A239" s="3"/>
      <c r="B239" s="2"/>
      <c r="C239" s="2"/>
      <c r="D239" s="2"/>
      <c r="E239" s="2"/>
      <c r="G239" s="2"/>
      <c r="H239" s="2"/>
      <c r="I239" s="2"/>
      <c r="J239" s="2"/>
      <c r="N239" s="2"/>
    </row>
    <row r="240" spans="1:14" ht="13.5" x14ac:dyDescent="0.15">
      <c r="A240" s="3"/>
      <c r="B240" s="2"/>
      <c r="C240" s="2"/>
      <c r="D240" s="2"/>
      <c r="E240" s="2"/>
      <c r="G240" s="2"/>
      <c r="H240" s="2"/>
      <c r="I240" s="2"/>
      <c r="J240" s="2"/>
      <c r="N240" s="2"/>
    </row>
    <row r="241" spans="1:14" ht="13.5" x14ac:dyDescent="0.15">
      <c r="A241" s="3"/>
      <c r="B241" s="2"/>
      <c r="C241" s="2"/>
      <c r="D241" s="2"/>
      <c r="E241" s="2"/>
      <c r="G241" s="2"/>
      <c r="H241" s="2"/>
      <c r="I241" s="2"/>
      <c r="J241" s="2"/>
      <c r="N241" s="2"/>
    </row>
    <row r="242" spans="1:14" ht="13.5" x14ac:dyDescent="0.15">
      <c r="A242" s="3"/>
      <c r="B242" s="2"/>
      <c r="C242" s="2"/>
      <c r="D242" s="2"/>
      <c r="E242" s="2"/>
      <c r="G242" s="2"/>
      <c r="H242" s="2"/>
      <c r="I242" s="2"/>
      <c r="J242" s="2"/>
      <c r="N242" s="2"/>
    </row>
    <row r="243" spans="1:14" ht="13.5" x14ac:dyDescent="0.15">
      <c r="A243" s="3"/>
      <c r="B243" s="2"/>
      <c r="C243" s="2"/>
      <c r="D243" s="2"/>
      <c r="E243" s="2"/>
      <c r="G243" s="2"/>
      <c r="H243" s="2"/>
      <c r="I243" s="2"/>
      <c r="J243" s="2"/>
      <c r="N243" s="2"/>
    </row>
    <row r="244" spans="1:14" ht="13.5" x14ac:dyDescent="0.15">
      <c r="A244" s="3"/>
      <c r="B244" s="2"/>
      <c r="C244" s="2"/>
      <c r="D244" s="2"/>
      <c r="E244" s="2"/>
      <c r="G244" s="2"/>
      <c r="H244" s="2"/>
      <c r="I244" s="2"/>
      <c r="J244" s="2"/>
      <c r="N244" s="2"/>
    </row>
    <row r="245" spans="1:14" ht="13.5" x14ac:dyDescent="0.15">
      <c r="A245" s="3"/>
      <c r="B245" s="6"/>
      <c r="C245" s="2"/>
      <c r="D245" s="2"/>
      <c r="E245" s="2"/>
      <c r="G245" s="5"/>
      <c r="H245" s="2"/>
      <c r="I245" s="2"/>
      <c r="J245" s="2"/>
    </row>
    <row r="246" spans="1:14" ht="13.5" x14ac:dyDescent="0.15">
      <c r="A246" s="3"/>
      <c r="B246" s="2"/>
      <c r="C246" s="2"/>
      <c r="D246" s="2"/>
      <c r="E246" s="2"/>
      <c r="G246" s="5"/>
      <c r="H246" s="2"/>
      <c r="I246" s="2"/>
      <c r="J246" s="5"/>
      <c r="N246" s="5"/>
    </row>
    <row r="247" spans="1:14" ht="13.5" x14ac:dyDescent="0.15">
      <c r="A247" s="3"/>
      <c r="B247" s="2"/>
      <c r="C247" s="2"/>
      <c r="D247" s="2"/>
      <c r="E247" s="2"/>
      <c r="G247" s="2"/>
      <c r="H247" s="2"/>
      <c r="I247" s="2"/>
      <c r="J247" s="2"/>
      <c r="N247" s="2"/>
    </row>
    <row r="248" spans="1:14" ht="13.5" x14ac:dyDescent="0.15">
      <c r="A248" s="3"/>
      <c r="B248" s="6"/>
      <c r="C248" s="2"/>
      <c r="D248" s="2"/>
      <c r="E248" s="2"/>
      <c r="G248" s="5"/>
      <c r="H248" s="6"/>
      <c r="I248" s="2"/>
      <c r="J248" s="2"/>
    </row>
    <row r="249" spans="1:14" ht="13.5" x14ac:dyDescent="0.15">
      <c r="A249" s="3"/>
      <c r="B249" s="2"/>
      <c r="C249" s="2"/>
      <c r="D249" s="2"/>
      <c r="E249" s="2"/>
      <c r="G249" s="2"/>
      <c r="H249" s="2"/>
      <c r="I249" s="2"/>
      <c r="J249" s="2"/>
      <c r="N249" s="2"/>
    </row>
    <row r="250" spans="1:14" ht="13.5" x14ac:dyDescent="0.15">
      <c r="A250" s="3"/>
      <c r="B250" s="2"/>
      <c r="C250" s="2"/>
      <c r="D250" s="2"/>
      <c r="E250" s="2"/>
      <c r="G250" s="5"/>
      <c r="H250" s="2"/>
      <c r="I250" s="2"/>
      <c r="J250" s="2"/>
      <c r="N250" s="2"/>
    </row>
    <row r="251" spans="1:14" ht="13.5" x14ac:dyDescent="0.15">
      <c r="A251" s="3"/>
      <c r="B251" s="2"/>
      <c r="C251" s="2"/>
      <c r="D251" s="2"/>
      <c r="E251" s="2"/>
      <c r="G251" s="2"/>
      <c r="H251" s="2"/>
      <c r="I251" s="2"/>
      <c r="J251" s="2"/>
      <c r="N251" s="2"/>
    </row>
    <row r="252" spans="1:14" ht="13.5" x14ac:dyDescent="0.15">
      <c r="A252" s="3"/>
      <c r="B252" s="2"/>
      <c r="C252" s="2"/>
      <c r="D252" s="2"/>
      <c r="E252" s="2"/>
      <c r="G252" s="2"/>
      <c r="H252" s="2"/>
      <c r="I252" s="2"/>
      <c r="J252" s="2"/>
      <c r="N252" s="2"/>
    </row>
    <row r="253" spans="1:14" ht="13.5" x14ac:dyDescent="0.15">
      <c r="A253" s="3"/>
      <c r="B253" s="2"/>
      <c r="C253" s="2"/>
      <c r="D253" s="2"/>
      <c r="E253" s="2"/>
      <c r="G253" s="2"/>
      <c r="H253" s="2"/>
      <c r="I253" s="2"/>
      <c r="J253" s="2"/>
      <c r="N253" s="2"/>
    </row>
    <row r="254" spans="1:14" ht="13.5" x14ac:dyDescent="0.15">
      <c r="A254" s="3"/>
      <c r="B254" s="6"/>
      <c r="C254" s="2"/>
      <c r="D254" s="2"/>
      <c r="E254" s="2"/>
      <c r="G254" s="5"/>
      <c r="H254" s="2"/>
      <c r="I254" s="2"/>
      <c r="J254" s="2"/>
    </row>
    <row r="255" spans="1:14" ht="13.5" x14ac:dyDescent="0.15">
      <c r="A255" s="3"/>
      <c r="B255" s="2"/>
      <c r="C255" s="2"/>
      <c r="D255" s="2"/>
      <c r="E255" s="2"/>
      <c r="G255" s="5"/>
      <c r="H255" s="2"/>
      <c r="I255" s="2"/>
      <c r="J255" s="2"/>
    </row>
    <row r="256" spans="1:14" ht="13.5" x14ac:dyDescent="0.15">
      <c r="A256" s="3"/>
      <c r="B256" s="2"/>
      <c r="C256" s="2"/>
      <c r="D256" s="2"/>
      <c r="E256" s="2"/>
      <c r="G256" s="2"/>
      <c r="H256" s="2"/>
      <c r="I256" s="2"/>
      <c r="J256" s="2"/>
      <c r="N256" s="2"/>
    </row>
    <row r="257" spans="1:14" ht="13.5" x14ac:dyDescent="0.15">
      <c r="A257" s="3"/>
      <c r="B257" s="2"/>
      <c r="C257" s="2"/>
      <c r="D257" s="2"/>
      <c r="E257" s="2"/>
      <c r="G257" s="2"/>
      <c r="H257" s="2"/>
      <c r="I257" s="2"/>
      <c r="J257" s="2"/>
      <c r="N257" s="2"/>
    </row>
    <row r="258" spans="1:14" ht="13.5" x14ac:dyDescent="0.15">
      <c r="A258" s="3"/>
      <c r="B258" s="2"/>
      <c r="C258" s="2"/>
      <c r="D258" s="2"/>
      <c r="E258" s="2"/>
      <c r="G258" s="2"/>
      <c r="H258" s="2"/>
      <c r="I258" s="2"/>
      <c r="J258" s="2"/>
      <c r="N258" s="2"/>
    </row>
    <row r="259" spans="1:14" ht="13.5" x14ac:dyDescent="0.15">
      <c r="A259" s="3"/>
      <c r="B259" s="2"/>
      <c r="C259" s="2"/>
      <c r="D259" s="2"/>
      <c r="E259" s="2"/>
      <c r="G259" s="2"/>
      <c r="H259" s="2"/>
      <c r="I259" s="2"/>
      <c r="J259" s="2"/>
      <c r="N259" s="2"/>
    </row>
    <row r="260" spans="1:14" ht="13.5" x14ac:dyDescent="0.15">
      <c r="A260" s="3"/>
      <c r="B260" s="2"/>
      <c r="C260" s="2"/>
      <c r="D260" s="2"/>
      <c r="E260" s="2"/>
      <c r="G260" s="2"/>
      <c r="H260" s="2"/>
      <c r="I260" s="2"/>
      <c r="J260" s="2"/>
      <c r="N260" s="2"/>
    </row>
    <row r="261" spans="1:14" ht="13.5" x14ac:dyDescent="0.15">
      <c r="A261" s="3"/>
      <c r="B261" s="2"/>
      <c r="C261" s="2"/>
      <c r="D261" s="2"/>
      <c r="E261" s="2"/>
      <c r="G261" s="2"/>
      <c r="H261" s="2"/>
      <c r="I261" s="2"/>
      <c r="J261" s="2"/>
      <c r="N261" s="2"/>
    </row>
    <row r="262" spans="1:14" ht="13.5" x14ac:dyDescent="0.15">
      <c r="A262" s="3"/>
      <c r="B262" s="2"/>
      <c r="C262" s="2"/>
      <c r="D262" s="2"/>
      <c r="E262" s="2"/>
      <c r="G262" s="2"/>
      <c r="H262" s="2"/>
      <c r="I262" s="2"/>
      <c r="J262" s="2"/>
      <c r="N262" s="2"/>
    </row>
    <row r="263" spans="1:14" ht="13.5" x14ac:dyDescent="0.15">
      <c r="A263" s="3"/>
      <c r="B263" s="2"/>
      <c r="C263" s="2"/>
      <c r="D263" s="2"/>
      <c r="E263" s="2"/>
      <c r="G263" s="2"/>
      <c r="H263" s="2"/>
      <c r="I263" s="2"/>
      <c r="J263" s="2"/>
      <c r="N263" s="2"/>
    </row>
    <row r="264" spans="1:14" ht="13.5" x14ac:dyDescent="0.15">
      <c r="A264" s="3"/>
      <c r="B264" s="2"/>
      <c r="C264" s="2"/>
      <c r="D264" s="2"/>
      <c r="E264" s="2"/>
      <c r="G264" s="2"/>
      <c r="H264" s="2"/>
      <c r="I264" s="2"/>
      <c r="J264" s="2"/>
      <c r="N264" s="2"/>
    </row>
    <row r="265" spans="1:14" ht="13.5" x14ac:dyDescent="0.15">
      <c r="A265" s="3"/>
      <c r="B265" s="2"/>
      <c r="C265" s="2"/>
      <c r="D265" s="2"/>
      <c r="E265" s="2"/>
      <c r="G265" s="2"/>
      <c r="H265" s="2"/>
      <c r="I265" s="2"/>
      <c r="J265" s="2"/>
      <c r="N265" s="2"/>
    </row>
    <row r="266" spans="1:14" ht="13.5" x14ac:dyDescent="0.15">
      <c r="A266" s="3"/>
      <c r="B266" s="2"/>
      <c r="C266" s="2"/>
      <c r="D266" s="2"/>
      <c r="H266" s="2"/>
      <c r="J266" s="2"/>
      <c r="N266" s="2"/>
    </row>
    <row r="267" spans="1:14" ht="13.5" x14ac:dyDescent="0.15">
      <c r="A267" s="3"/>
      <c r="B267" s="2"/>
      <c r="C267" s="2"/>
      <c r="D267" s="2"/>
      <c r="E267" s="2"/>
      <c r="G267" s="2"/>
      <c r="H267" s="2"/>
      <c r="I267" s="2"/>
      <c r="J267" s="2"/>
      <c r="N267" s="2"/>
    </row>
    <row r="268" spans="1:14" ht="13.5" x14ac:dyDescent="0.15">
      <c r="A268" s="3"/>
      <c r="B268" s="2"/>
      <c r="C268" s="2"/>
      <c r="D268" s="2"/>
      <c r="E268" s="2"/>
      <c r="G268" s="5"/>
      <c r="H268" s="2"/>
      <c r="I268" s="2"/>
      <c r="J268" s="2"/>
      <c r="N268" s="2"/>
    </row>
    <row r="269" spans="1:14" ht="13.5" x14ac:dyDescent="0.15">
      <c r="A269" s="3"/>
      <c r="B269" s="2"/>
      <c r="C269" s="2"/>
      <c r="D269" s="2"/>
      <c r="E269" s="2"/>
      <c r="G269" s="2"/>
      <c r="H269" s="2"/>
      <c r="I269" s="2"/>
      <c r="J269" s="2"/>
      <c r="N269" s="2"/>
    </row>
    <row r="270" spans="1:14" ht="13.5" x14ac:dyDescent="0.15">
      <c r="A270" s="3"/>
      <c r="B270" s="2"/>
      <c r="C270" s="2"/>
      <c r="D270" s="2"/>
      <c r="E270" s="2"/>
      <c r="G270" s="2"/>
      <c r="H270" s="2"/>
      <c r="I270" s="2"/>
      <c r="J270" s="2"/>
      <c r="N270" s="2"/>
    </row>
    <row r="271" spans="1:14" ht="13.5" x14ac:dyDescent="0.15">
      <c r="A271" s="3"/>
      <c r="B271" s="2"/>
      <c r="C271" s="2"/>
      <c r="D271" s="2"/>
      <c r="E271" s="2"/>
      <c r="G271" s="2"/>
      <c r="H271" s="2"/>
      <c r="I271" s="2"/>
      <c r="J271" s="2"/>
      <c r="N271" s="2"/>
    </row>
    <row r="272" spans="1:14" ht="13.5" x14ac:dyDescent="0.15">
      <c r="A272" s="3"/>
      <c r="B272" s="2"/>
      <c r="C272" s="2"/>
      <c r="D272" s="2"/>
      <c r="E272" s="2"/>
      <c r="G272" s="5"/>
      <c r="H272" s="2"/>
      <c r="I272" s="2"/>
      <c r="J272" s="2"/>
      <c r="N272" s="2"/>
    </row>
    <row r="273" spans="1:14" ht="13.5" x14ac:dyDescent="0.15">
      <c r="A273" s="3"/>
      <c r="B273" s="2"/>
      <c r="C273" s="2"/>
      <c r="D273" s="2"/>
      <c r="E273" s="2"/>
      <c r="G273" s="2"/>
      <c r="H273" s="2"/>
      <c r="I273" s="2"/>
      <c r="J273" s="2"/>
      <c r="N273" s="2"/>
    </row>
    <row r="274" spans="1:14" ht="13.5" x14ac:dyDescent="0.15">
      <c r="A274" s="3"/>
      <c r="B274" s="2"/>
      <c r="C274" s="2"/>
      <c r="D274" s="2"/>
      <c r="E274" s="2"/>
      <c r="G274" s="2"/>
      <c r="H274" s="2"/>
      <c r="I274" s="2"/>
      <c r="J274" s="2"/>
      <c r="N274" s="2"/>
    </row>
    <row r="275" spans="1:14" ht="13.5" x14ac:dyDescent="0.15">
      <c r="A275" s="3"/>
      <c r="B275" s="2"/>
      <c r="C275" s="2"/>
      <c r="D275" s="2"/>
      <c r="E275" s="2"/>
      <c r="G275" s="5"/>
      <c r="H275" s="2"/>
      <c r="I275" s="2"/>
      <c r="J275" s="2"/>
      <c r="N275" s="2"/>
    </row>
    <row r="276" spans="1:14" ht="13.5" x14ac:dyDescent="0.15">
      <c r="A276" s="3"/>
      <c r="B276" s="2"/>
      <c r="C276" s="2"/>
      <c r="D276" s="2"/>
      <c r="E276" s="2"/>
      <c r="G276" s="5"/>
      <c r="H276" s="2"/>
      <c r="I276" s="2"/>
      <c r="J276" s="2"/>
      <c r="N276" s="5"/>
    </row>
    <row r="277" spans="1:14" ht="13.5" x14ac:dyDescent="0.15">
      <c r="A277" s="3"/>
      <c r="B277" s="2"/>
      <c r="C277" s="2"/>
      <c r="D277" s="2"/>
      <c r="E277" s="2"/>
      <c r="G277" s="2"/>
      <c r="H277" s="2"/>
      <c r="I277" s="2"/>
      <c r="J277" s="2"/>
      <c r="N277" s="2"/>
    </row>
    <row r="278" spans="1:14" ht="13.5" x14ac:dyDescent="0.15">
      <c r="A278" s="3"/>
      <c r="B278" s="2"/>
      <c r="C278" s="2"/>
      <c r="D278" s="2"/>
      <c r="E278" s="2"/>
      <c r="G278" s="2"/>
      <c r="H278" s="2"/>
      <c r="I278" s="2"/>
      <c r="J278" s="2"/>
      <c r="N278" s="2"/>
    </row>
    <row r="279" spans="1:14" ht="13.5" x14ac:dyDescent="0.15">
      <c r="A279" s="3"/>
      <c r="B279" s="2"/>
      <c r="C279" s="2"/>
      <c r="D279" s="2"/>
      <c r="E279" s="2"/>
      <c r="G279" s="5"/>
      <c r="H279" s="2"/>
      <c r="I279" s="2"/>
      <c r="J279" s="2"/>
      <c r="N279" s="2"/>
    </row>
    <row r="280" spans="1:14" ht="13.5" x14ac:dyDescent="0.15">
      <c r="A280" s="3"/>
      <c r="B280" s="2"/>
      <c r="C280" s="2"/>
      <c r="D280" s="2"/>
      <c r="E280" s="2"/>
      <c r="G280" s="2"/>
      <c r="H280" s="2"/>
      <c r="I280" s="2"/>
      <c r="J280" s="2"/>
      <c r="N280" s="2"/>
    </row>
    <row r="281" spans="1:14" ht="13.5" x14ac:dyDescent="0.15">
      <c r="A281" s="3"/>
      <c r="B281" s="2"/>
      <c r="C281" s="2"/>
      <c r="D281" s="2"/>
      <c r="E281" s="2"/>
      <c r="G281" s="2"/>
      <c r="H281" s="2"/>
      <c r="I281" s="2"/>
      <c r="J281" s="2"/>
      <c r="N281" s="2"/>
    </row>
    <row r="282" spans="1:14" ht="13.5" x14ac:dyDescent="0.15">
      <c r="A282" s="3"/>
      <c r="B282" s="2"/>
      <c r="C282" s="2"/>
      <c r="D282" s="2"/>
      <c r="H282" s="2"/>
      <c r="J282" s="2"/>
    </row>
    <row r="283" spans="1:14" ht="13.5" x14ac:dyDescent="0.15">
      <c r="A283" s="3"/>
      <c r="B283" s="2"/>
      <c r="C283" s="2"/>
      <c r="D283" s="2"/>
      <c r="E283" s="2"/>
      <c r="G283" s="2"/>
      <c r="H283" s="2"/>
      <c r="I283" s="2"/>
      <c r="J283" s="2"/>
      <c r="N283" s="2"/>
    </row>
    <row r="284" spans="1:14" ht="13.5" x14ac:dyDescent="0.15">
      <c r="A284" s="3"/>
      <c r="B284" s="2"/>
      <c r="C284" s="2"/>
      <c r="D284" s="2"/>
      <c r="E284" s="2"/>
      <c r="G284" s="5"/>
      <c r="H284" s="2"/>
      <c r="I284" s="2"/>
      <c r="J284" s="2"/>
      <c r="N284" s="2"/>
    </row>
    <row r="285" spans="1:14" ht="13.5" x14ac:dyDescent="0.15">
      <c r="A285" s="3"/>
      <c r="B285" s="6"/>
      <c r="C285" s="2"/>
      <c r="D285" s="2"/>
      <c r="E285" s="2"/>
      <c r="G285" s="5"/>
      <c r="H285" s="2"/>
      <c r="I285" s="2"/>
      <c r="J285" s="2"/>
    </row>
    <row r="286" spans="1:14" ht="13.5" x14ac:dyDescent="0.15">
      <c r="A286" s="3"/>
      <c r="B286" s="2"/>
      <c r="C286" s="2"/>
      <c r="D286" s="2"/>
      <c r="E286" s="2"/>
      <c r="G286" s="2"/>
      <c r="H286" s="2"/>
      <c r="I286" s="2"/>
      <c r="J286" s="2"/>
      <c r="N286" s="2"/>
    </row>
    <row r="287" spans="1:14" ht="13.5" x14ac:dyDescent="0.15">
      <c r="A287" s="3"/>
      <c r="B287" s="2"/>
      <c r="C287" s="2"/>
      <c r="D287" s="2"/>
      <c r="E287" s="2"/>
      <c r="G287" s="2"/>
      <c r="H287" s="2"/>
      <c r="I287" s="2"/>
      <c r="J287" s="2"/>
      <c r="N287" s="2"/>
    </row>
    <row r="288" spans="1:14" ht="13.5" x14ac:dyDescent="0.15">
      <c r="A288" s="3"/>
      <c r="B288" s="2"/>
      <c r="C288" s="2"/>
      <c r="D288" s="2"/>
      <c r="E288" s="2"/>
      <c r="G288" s="2"/>
      <c r="H288" s="2"/>
      <c r="I288" s="2"/>
      <c r="J288" s="2"/>
      <c r="N288" s="2"/>
    </row>
    <row r="289" spans="1:14" ht="13.5" x14ac:dyDescent="0.15">
      <c r="A289" s="3"/>
      <c r="B289" s="2"/>
      <c r="C289" s="2"/>
      <c r="D289" s="2"/>
      <c r="E289" s="2"/>
      <c r="G289" s="2"/>
      <c r="H289" s="2"/>
      <c r="I289" s="2"/>
      <c r="J289" s="2"/>
      <c r="N289" s="2"/>
    </row>
    <row r="290" spans="1:14" ht="13.5" x14ac:dyDescent="0.15">
      <c r="A290" s="3"/>
      <c r="B290" s="2"/>
      <c r="C290" s="2"/>
      <c r="D290" s="2"/>
      <c r="H290" s="2"/>
      <c r="J290" s="2"/>
      <c r="N290" s="2"/>
    </row>
    <row r="291" spans="1:14" ht="13.5" x14ac:dyDescent="0.15">
      <c r="A291" s="3"/>
      <c r="B291" s="2"/>
      <c r="C291" s="2"/>
      <c r="D291" s="2"/>
      <c r="E291" s="2"/>
      <c r="G291" s="2"/>
      <c r="H291" s="2"/>
      <c r="I291" s="2"/>
      <c r="J291" s="2"/>
      <c r="N291" s="2"/>
    </row>
    <row r="292" spans="1:14" ht="13.5" x14ac:dyDescent="0.15">
      <c r="A292" s="3"/>
      <c r="B292" s="2"/>
      <c r="C292" s="2"/>
      <c r="D292" s="2"/>
      <c r="E292" s="2"/>
      <c r="G292" s="2"/>
      <c r="H292" s="2"/>
      <c r="I292" s="2"/>
      <c r="J292" s="2"/>
      <c r="N292" s="2"/>
    </row>
    <row r="293" spans="1:14" ht="13.5" x14ac:dyDescent="0.15">
      <c r="A293" s="3"/>
      <c r="B293" s="2"/>
      <c r="C293" s="2"/>
      <c r="H293" s="5"/>
    </row>
    <row r="294" spans="1:14" ht="13.5" x14ac:dyDescent="0.15">
      <c r="A294" s="3"/>
      <c r="B294" s="2"/>
      <c r="C294" s="2"/>
      <c r="D294" s="2"/>
      <c r="E294" s="2"/>
      <c r="G294" s="2"/>
      <c r="H294" s="2"/>
      <c r="I294" s="2"/>
      <c r="J294" s="2"/>
    </row>
    <row r="295" spans="1:14" ht="13.5" x14ac:dyDescent="0.15">
      <c r="A295" s="3"/>
      <c r="B295" s="2"/>
      <c r="C295" s="2"/>
      <c r="D295" s="2"/>
      <c r="E295" s="2"/>
      <c r="G295" s="2"/>
      <c r="H295" s="2"/>
      <c r="I295" s="2"/>
      <c r="J295" s="2"/>
      <c r="N295" s="2"/>
    </row>
    <row r="296" spans="1:14" ht="13.5" x14ac:dyDescent="0.15">
      <c r="A296" s="3"/>
      <c r="B296" s="2"/>
      <c r="C296" s="2"/>
      <c r="D296" s="2"/>
      <c r="E296" s="2"/>
      <c r="G296" s="2"/>
      <c r="H296" s="2"/>
      <c r="I296" s="2"/>
      <c r="J296" s="2"/>
      <c r="N296" s="2"/>
    </row>
    <row r="297" spans="1:14" ht="13.5" x14ac:dyDescent="0.15">
      <c r="A297" s="3"/>
      <c r="B297" s="2"/>
      <c r="C297" s="2"/>
      <c r="D297" s="2"/>
      <c r="E297" s="2"/>
      <c r="G297" s="2"/>
      <c r="H297" s="2"/>
      <c r="I297" s="2"/>
      <c r="J297" s="2"/>
      <c r="N297" s="2"/>
    </row>
    <row r="298" spans="1:14" ht="13.5" x14ac:dyDescent="0.15">
      <c r="A298" s="3"/>
      <c r="B298" s="2"/>
      <c r="C298" s="2"/>
      <c r="D298" s="2"/>
      <c r="E298" s="2"/>
      <c r="G298" s="2"/>
      <c r="H298" s="2"/>
      <c r="I298" s="2"/>
      <c r="J298" s="2"/>
      <c r="N298" s="2"/>
    </row>
    <row r="299" spans="1:14" ht="13.5" x14ac:dyDescent="0.15">
      <c r="A299" s="3"/>
      <c r="B299" s="2"/>
      <c r="C299" s="2"/>
      <c r="D299" s="2"/>
      <c r="E299" s="2"/>
      <c r="G299" s="5"/>
      <c r="H299" s="2"/>
      <c r="I299" s="2"/>
      <c r="J299" s="2"/>
    </row>
    <row r="300" spans="1:14" ht="13.5" x14ac:dyDescent="0.15">
      <c r="A300" s="3"/>
      <c r="B300" s="2"/>
      <c r="C300" s="2"/>
      <c r="D300" s="2"/>
      <c r="H300" s="2"/>
      <c r="J300" s="2"/>
      <c r="N300" s="2"/>
    </row>
    <row r="301" spans="1:14" ht="13.5" x14ac:dyDescent="0.15">
      <c r="A301" s="3"/>
      <c r="B301" s="2"/>
      <c r="C301" s="2"/>
      <c r="D301" s="2"/>
      <c r="E301" s="2"/>
      <c r="G301" s="2"/>
      <c r="H301" s="2"/>
      <c r="I301" s="2"/>
      <c r="J301" s="2"/>
      <c r="N301" s="2"/>
    </row>
    <row r="302" spans="1:14" ht="13.5" x14ac:dyDescent="0.15">
      <c r="A302" s="3"/>
      <c r="B302" s="2"/>
      <c r="C302" s="2"/>
      <c r="D302" s="2"/>
      <c r="E302" s="2"/>
      <c r="G302" s="2"/>
      <c r="H302" s="2"/>
      <c r="I302" s="2"/>
      <c r="J302" s="2"/>
      <c r="N302" s="2"/>
    </row>
    <row r="303" spans="1:14" ht="13.5" x14ac:dyDescent="0.15">
      <c r="A303" s="3"/>
      <c r="B303" s="2"/>
      <c r="C303" s="2"/>
      <c r="D303" s="2"/>
      <c r="E303" s="2"/>
      <c r="G303" s="2"/>
      <c r="H303" s="2"/>
      <c r="I303" s="2"/>
      <c r="J303" s="2"/>
      <c r="N303" s="2"/>
    </row>
    <row r="304" spans="1:14" ht="13.5" x14ac:dyDescent="0.15">
      <c r="A304" s="3"/>
      <c r="B304" s="2"/>
      <c r="C304" s="2"/>
      <c r="D304" s="2"/>
      <c r="E304" s="2"/>
      <c r="G304" s="2"/>
      <c r="H304" s="2"/>
      <c r="I304" s="2"/>
      <c r="J304" s="2"/>
      <c r="N304" s="2"/>
    </row>
    <row r="305" spans="1:14" ht="13.5" x14ac:dyDescent="0.15">
      <c r="A305" s="3"/>
      <c r="B305" s="2"/>
      <c r="C305" s="2"/>
      <c r="D305" s="2"/>
      <c r="E305" s="2"/>
      <c r="G305" s="2"/>
      <c r="H305" s="2"/>
      <c r="I305" s="2"/>
      <c r="J305" s="2"/>
      <c r="N305" s="2"/>
    </row>
    <row r="306" spans="1:14" ht="13.5" x14ac:dyDescent="0.15">
      <c r="A306" s="3"/>
      <c r="B306" s="2"/>
      <c r="C306" s="2"/>
      <c r="D306" s="2"/>
      <c r="E306" s="2"/>
      <c r="G306" s="2"/>
      <c r="H306" s="2"/>
      <c r="I306" s="2"/>
      <c r="J306" s="2"/>
      <c r="N306" s="2"/>
    </row>
    <row r="307" spans="1:14" ht="13.5" x14ac:dyDescent="0.15">
      <c r="A307" s="3"/>
      <c r="B307" s="2"/>
      <c r="C307" s="2"/>
      <c r="D307" s="2"/>
      <c r="E307" s="2"/>
      <c r="G307" s="5"/>
      <c r="H307" s="2"/>
      <c r="I307" s="2"/>
      <c r="J307" s="2"/>
      <c r="N307" s="2"/>
    </row>
    <row r="308" spans="1:14" ht="13.5" x14ac:dyDescent="0.15">
      <c r="A308" s="3"/>
      <c r="B308" s="2"/>
      <c r="C308" s="2"/>
      <c r="D308" s="2"/>
      <c r="E308" s="2"/>
      <c r="G308" s="2"/>
      <c r="H308" s="2"/>
      <c r="I308" s="2"/>
      <c r="J308" s="2"/>
      <c r="N308" s="2"/>
    </row>
    <row r="309" spans="1:14" ht="13.5" x14ac:dyDescent="0.15">
      <c r="A309" s="3"/>
      <c r="B309" s="2"/>
      <c r="C309" s="2"/>
      <c r="E309" s="2"/>
      <c r="G309" s="2"/>
      <c r="H309" s="2"/>
      <c r="I309" s="2"/>
      <c r="J309" s="2"/>
      <c r="N309" s="2"/>
    </row>
    <row r="310" spans="1:14" ht="13.5" x14ac:dyDescent="0.15">
      <c r="A310" s="3"/>
      <c r="B310" s="2"/>
      <c r="C310" s="2"/>
      <c r="D310" s="2"/>
      <c r="E310" s="2"/>
      <c r="G310" s="2"/>
      <c r="H310" s="2"/>
      <c r="I310" s="2"/>
      <c r="J310" s="2"/>
      <c r="N310" s="2"/>
    </row>
    <row r="311" spans="1:14" ht="13.5" x14ac:dyDescent="0.15">
      <c r="A311" s="3"/>
      <c r="B311" s="2"/>
      <c r="C311" s="2"/>
      <c r="D311" s="2"/>
      <c r="E311" s="2"/>
      <c r="G311" s="2"/>
      <c r="H311" s="2"/>
      <c r="I311" s="2"/>
      <c r="J311" s="2"/>
      <c r="N311" s="2"/>
    </row>
    <row r="312" spans="1:14" ht="13.5" x14ac:dyDescent="0.15">
      <c r="A312" s="3"/>
      <c r="B312" s="2"/>
      <c r="C312" s="2"/>
      <c r="D312" s="2"/>
      <c r="E312" s="2"/>
      <c r="G312" s="2"/>
      <c r="H312" s="2"/>
      <c r="I312" s="2"/>
      <c r="J312" s="2"/>
      <c r="N312" s="2"/>
    </row>
    <row r="313" spans="1:14" ht="13.5" x14ac:dyDescent="0.15">
      <c r="A313" s="3"/>
      <c r="B313" s="2"/>
      <c r="C313" s="2"/>
      <c r="D313" s="2"/>
      <c r="E313" s="2"/>
      <c r="G313" s="5"/>
      <c r="H313" s="2"/>
      <c r="I313" s="2"/>
      <c r="J313" s="2"/>
      <c r="N313" s="2"/>
    </row>
    <row r="314" spans="1:14" ht="13.5" x14ac:dyDescent="0.15">
      <c r="A314" s="3"/>
      <c r="B314" s="2"/>
      <c r="C314" s="2"/>
      <c r="D314" s="2"/>
      <c r="E314" s="2"/>
      <c r="G314" s="2"/>
      <c r="H314" s="2"/>
      <c r="I314" s="2"/>
      <c r="J314" s="2"/>
      <c r="N314" s="2"/>
    </row>
    <row r="315" spans="1:14" ht="13.5" x14ac:dyDescent="0.15">
      <c r="A315" s="3"/>
      <c r="B315" s="2"/>
      <c r="C315" s="2"/>
      <c r="D315" s="2"/>
      <c r="E315" s="2"/>
      <c r="G315" s="2"/>
      <c r="H315" s="2"/>
      <c r="I315" s="2"/>
      <c r="J315" s="2"/>
      <c r="N315" s="2"/>
    </row>
    <row r="316" spans="1:14" ht="13.5" x14ac:dyDescent="0.15">
      <c r="A316" s="3"/>
      <c r="B316" s="6"/>
      <c r="C316" s="2"/>
      <c r="D316" s="2"/>
      <c r="E316" s="2"/>
      <c r="G316" s="5"/>
      <c r="H316" s="2"/>
      <c r="I316" s="2"/>
      <c r="J316" s="2"/>
    </row>
    <row r="317" spans="1:14" ht="13.5" x14ac:dyDescent="0.15">
      <c r="A317" s="3"/>
      <c r="B317" s="2"/>
      <c r="C317" s="2"/>
      <c r="D317" s="2"/>
      <c r="E317" s="2"/>
      <c r="G317" s="2"/>
      <c r="H317" s="2"/>
      <c r="I317" s="2"/>
      <c r="J317" s="2"/>
      <c r="N317" s="2"/>
    </row>
    <row r="318" spans="1:14" ht="13.5" x14ac:dyDescent="0.15">
      <c r="A318" s="3"/>
      <c r="B318" s="2"/>
      <c r="C318" s="2"/>
      <c r="D318" s="2"/>
      <c r="H318" s="2"/>
      <c r="J318" s="2"/>
      <c r="N318" s="2"/>
    </row>
    <row r="319" spans="1:14" ht="13.5" x14ac:dyDescent="0.15">
      <c r="A319" s="3"/>
      <c r="B319" s="2"/>
      <c r="C319" s="2"/>
      <c r="D319" s="2"/>
      <c r="E319" s="2"/>
      <c r="G319" s="2"/>
      <c r="H319" s="2"/>
      <c r="I319" s="2"/>
      <c r="J319" s="2"/>
      <c r="N319" s="2"/>
    </row>
    <row r="320" spans="1:14" ht="13.5" x14ac:dyDescent="0.15">
      <c r="A320" s="3"/>
      <c r="B320" s="2"/>
      <c r="C320" s="2"/>
      <c r="D320" s="2"/>
      <c r="E320" s="2"/>
      <c r="G320" s="2"/>
      <c r="H320" s="2"/>
      <c r="I320" s="2"/>
      <c r="J320" s="2"/>
      <c r="N320" s="2"/>
    </row>
    <row r="321" spans="1:14" ht="13.5" x14ac:dyDescent="0.15">
      <c r="A321" s="3"/>
      <c r="B321" s="2"/>
      <c r="C321" s="2"/>
      <c r="D321" s="2"/>
      <c r="E321" s="2"/>
      <c r="G321" s="2"/>
      <c r="H321" s="2"/>
      <c r="I321" s="2"/>
      <c r="J321" s="2"/>
      <c r="N321" s="2"/>
    </row>
    <row r="322" spans="1:14" ht="13.5" x14ac:dyDescent="0.15">
      <c r="A322" s="3"/>
      <c r="B322" s="2"/>
      <c r="C322" s="2"/>
      <c r="D322" s="2"/>
      <c r="H322" s="2"/>
      <c r="J322" s="2"/>
    </row>
    <row r="323" spans="1:14" ht="13.5" x14ac:dyDescent="0.15">
      <c r="A323" s="3"/>
      <c r="B323" s="2"/>
      <c r="C323" s="2"/>
      <c r="D323" s="2"/>
      <c r="E323" s="2"/>
      <c r="G323" s="5"/>
      <c r="H323" s="2"/>
      <c r="I323" s="2"/>
      <c r="J323" s="2"/>
      <c r="N323" s="2"/>
    </row>
    <row r="324" spans="1:14" ht="13.5" x14ac:dyDescent="0.15">
      <c r="A324" s="3"/>
      <c r="B324" s="2"/>
      <c r="C324" s="2"/>
      <c r="D324" s="2"/>
      <c r="E324" s="2"/>
      <c r="G324" s="5"/>
      <c r="H324" s="2"/>
      <c r="I324" s="2"/>
      <c r="J324" s="2"/>
      <c r="N324" s="2"/>
    </row>
    <row r="325" spans="1:14" ht="13.5" x14ac:dyDescent="0.15">
      <c r="A325" s="3"/>
      <c r="B325" s="2"/>
      <c r="C325" s="2"/>
      <c r="D325" s="2"/>
      <c r="E325" s="2"/>
      <c r="G325" s="5"/>
      <c r="H325" s="2"/>
      <c r="I325" s="2"/>
      <c r="J325" s="2"/>
      <c r="N325" s="2"/>
    </row>
    <row r="326" spans="1:14" ht="13.5" x14ac:dyDescent="0.15">
      <c r="A326" s="3"/>
      <c r="B326" s="2"/>
      <c r="C326" s="2"/>
      <c r="D326" s="2"/>
      <c r="H326" s="2"/>
      <c r="J326" s="2"/>
      <c r="N326" s="2"/>
    </row>
    <row r="327" spans="1:14" ht="13.5" x14ac:dyDescent="0.15">
      <c r="A327" s="3"/>
      <c r="B327" s="2"/>
      <c r="C327" s="2"/>
      <c r="D327" s="2"/>
      <c r="E327" s="2"/>
      <c r="G327" s="5"/>
      <c r="H327" s="2"/>
      <c r="I327" s="2"/>
      <c r="J327" s="2"/>
      <c r="N327" s="2"/>
    </row>
    <row r="328" spans="1:14" ht="13.5" x14ac:dyDescent="0.15">
      <c r="A328" s="3"/>
      <c r="B328" s="2"/>
      <c r="C328" s="2"/>
      <c r="D328" s="2"/>
      <c r="H328" s="2"/>
      <c r="J328" s="2"/>
    </row>
    <row r="329" spans="1:14" ht="13.5" x14ac:dyDescent="0.15">
      <c r="A329" s="3"/>
      <c r="B329" s="2"/>
      <c r="C329" s="2"/>
      <c r="D329" s="2"/>
      <c r="E329" s="2"/>
      <c r="G329" s="2"/>
      <c r="H329" s="2"/>
      <c r="I329" s="2"/>
      <c r="J329" s="2"/>
      <c r="N329" s="2"/>
    </row>
    <row r="330" spans="1:14" ht="13.5" x14ac:dyDescent="0.15">
      <c r="A330" s="3"/>
      <c r="B330" s="2"/>
      <c r="C330" s="2"/>
      <c r="D330" s="2"/>
      <c r="E330" s="2"/>
      <c r="G330" s="2"/>
      <c r="H330" s="2"/>
      <c r="I330" s="2"/>
      <c r="J330" s="2"/>
      <c r="N330" s="2"/>
    </row>
    <row r="331" spans="1:14" ht="13.5" x14ac:dyDescent="0.15">
      <c r="A331" s="3"/>
      <c r="B331" s="2"/>
      <c r="C331" s="2"/>
      <c r="D331" s="2"/>
      <c r="E331" s="2"/>
      <c r="G331" s="5"/>
      <c r="H331" s="2"/>
      <c r="I331" s="2"/>
      <c r="J331" s="2"/>
      <c r="N331" s="2"/>
    </row>
    <row r="332" spans="1:14" ht="13.5" x14ac:dyDescent="0.15">
      <c r="A332" s="3"/>
      <c r="B332" s="2"/>
      <c r="C332" s="2"/>
      <c r="D332" s="2"/>
      <c r="E332" s="2"/>
      <c r="G332" s="2"/>
      <c r="H332" s="2"/>
      <c r="I332" s="2"/>
      <c r="J332" s="2"/>
      <c r="N332" s="2"/>
    </row>
    <row r="333" spans="1:14" ht="13.5" x14ac:dyDescent="0.15">
      <c r="A333" s="3"/>
      <c r="B333" s="2"/>
      <c r="C333" s="2"/>
      <c r="D333" s="2"/>
      <c r="E333" s="2"/>
      <c r="G333" s="2"/>
      <c r="H333" s="2"/>
      <c r="I333" s="2"/>
      <c r="J333" s="2"/>
      <c r="N333" s="2"/>
    </row>
    <row r="334" spans="1:14" ht="13.5" x14ac:dyDescent="0.15">
      <c r="A334" s="3"/>
      <c r="B334" s="2"/>
      <c r="C334" s="2"/>
      <c r="D334" s="2"/>
      <c r="E334" s="2"/>
      <c r="G334" s="5"/>
      <c r="H334" s="2"/>
      <c r="I334" s="2"/>
      <c r="J334" s="5"/>
      <c r="N334" s="5"/>
    </row>
    <row r="335" spans="1:14" ht="13.5" x14ac:dyDescent="0.15">
      <c r="A335" s="3"/>
      <c r="B335" s="6"/>
      <c r="C335" s="2"/>
      <c r="D335" s="2"/>
      <c r="E335" s="2"/>
      <c r="G335" s="5"/>
      <c r="H335" s="6"/>
      <c r="I335" s="2"/>
      <c r="J335" s="2"/>
    </row>
    <row r="336" spans="1:14" ht="13.5" x14ac:dyDescent="0.15">
      <c r="A336" s="3"/>
      <c r="B336" s="6"/>
      <c r="C336" s="2"/>
      <c r="D336" s="2"/>
      <c r="E336" s="2"/>
      <c r="G336" s="2"/>
      <c r="H336" s="2"/>
      <c r="I336" s="2"/>
      <c r="J336" s="2"/>
    </row>
    <row r="337" spans="1:14" ht="13.5" x14ac:dyDescent="0.15">
      <c r="A337" s="3"/>
      <c r="B337" s="6"/>
      <c r="C337" s="2"/>
      <c r="D337" s="2"/>
      <c r="H337" s="2"/>
      <c r="J337" s="2"/>
    </row>
    <row r="338" spans="1:14" ht="13.5" x14ac:dyDescent="0.15">
      <c r="A338" s="3"/>
      <c r="B338" s="6"/>
      <c r="C338" s="2"/>
      <c r="D338" s="2"/>
      <c r="E338" s="2"/>
      <c r="G338" s="5"/>
      <c r="H338" s="6"/>
      <c r="I338" s="2"/>
      <c r="J338" s="2"/>
    </row>
    <row r="339" spans="1:14" ht="13.5" x14ac:dyDescent="0.15">
      <c r="A339" s="3"/>
      <c r="B339" s="6"/>
      <c r="C339" s="2"/>
      <c r="D339" s="2"/>
      <c r="E339" s="2"/>
      <c r="G339" s="5"/>
      <c r="H339" s="6"/>
      <c r="I339" s="2"/>
      <c r="J339" s="2"/>
    </row>
    <row r="340" spans="1:14" ht="13.5" x14ac:dyDescent="0.15">
      <c r="A340" s="3"/>
      <c r="B340" s="6"/>
      <c r="C340" s="5"/>
    </row>
    <row r="341" spans="1:14" ht="13.5" x14ac:dyDescent="0.15">
      <c r="A341" s="3"/>
      <c r="B341" s="6"/>
      <c r="C341" s="2"/>
      <c r="D341" s="2"/>
      <c r="H341" s="2"/>
      <c r="J341" s="2"/>
    </row>
    <row r="342" spans="1:14" ht="13.5" x14ac:dyDescent="0.15">
      <c r="A342" s="3"/>
      <c r="B342" s="6"/>
      <c r="C342" s="2"/>
      <c r="D342" s="2"/>
      <c r="H342" s="2"/>
      <c r="J342" s="2"/>
    </row>
    <row r="343" spans="1:14" ht="13.5" x14ac:dyDescent="0.15">
      <c r="A343" s="3"/>
      <c r="B343" s="6"/>
      <c r="C343" s="5"/>
    </row>
    <row r="344" spans="1:14" ht="13.5" x14ac:dyDescent="0.15">
      <c r="A344" s="3"/>
      <c r="B344" s="6"/>
      <c r="C344" s="2"/>
      <c r="D344" s="2"/>
      <c r="H344" s="2"/>
      <c r="J344" s="2"/>
    </row>
    <row r="345" spans="1:14" ht="13.5" x14ac:dyDescent="0.15">
      <c r="A345" s="3"/>
      <c r="B345" s="6"/>
      <c r="C345" s="2"/>
      <c r="D345" s="2"/>
      <c r="H345" s="2"/>
      <c r="J345" s="2"/>
    </row>
    <row r="346" spans="1:14" ht="13.5" x14ac:dyDescent="0.15">
      <c r="A346" s="3"/>
      <c r="B346" s="6"/>
      <c r="C346" s="2"/>
      <c r="D346" s="2"/>
      <c r="H346" s="2"/>
      <c r="J346" s="2"/>
    </row>
    <row r="347" spans="1:14" ht="13.5" x14ac:dyDescent="0.15">
      <c r="A347" s="3"/>
      <c r="B347" s="2"/>
      <c r="C347" s="2"/>
      <c r="D347" s="2"/>
      <c r="E347" s="2"/>
      <c r="G347" s="2"/>
      <c r="H347" s="2"/>
      <c r="I347" s="2"/>
      <c r="J347" s="2"/>
      <c r="N347" s="2"/>
    </row>
    <row r="348" spans="1:14" ht="13.5" x14ac:dyDescent="0.15">
      <c r="A348" s="3"/>
      <c r="B348" s="2"/>
      <c r="C348" s="2"/>
      <c r="D348" s="2"/>
      <c r="E348" s="2"/>
      <c r="G348" s="5"/>
      <c r="H348" s="2"/>
      <c r="I348" s="2"/>
      <c r="J348" s="2"/>
      <c r="N348" s="2"/>
    </row>
    <row r="349" spans="1:14" ht="13.5" x14ac:dyDescent="0.15">
      <c r="A349" s="3"/>
      <c r="B349" s="2"/>
      <c r="C349" s="2"/>
      <c r="D349" s="2"/>
      <c r="E349" s="2"/>
      <c r="G349" s="5"/>
      <c r="H349" s="2"/>
      <c r="I349" s="2"/>
      <c r="J349" s="2"/>
      <c r="N349" s="2"/>
    </row>
    <row r="350" spans="1:14" ht="13.5" x14ac:dyDescent="0.15">
      <c r="A350" s="3"/>
      <c r="B350" s="2"/>
      <c r="C350" s="2"/>
      <c r="D350" s="2"/>
      <c r="E350" s="2"/>
      <c r="G350" s="5"/>
      <c r="H350" s="2"/>
      <c r="I350" s="2"/>
      <c r="J350" s="2"/>
      <c r="N350" s="2"/>
    </row>
    <row r="351" spans="1:14" ht="13.5" x14ac:dyDescent="0.15">
      <c r="A351" s="3"/>
      <c r="B351" s="2"/>
      <c r="C351" s="2"/>
      <c r="D351" s="2"/>
      <c r="E351" s="2"/>
      <c r="G351" s="5"/>
      <c r="H351" s="2"/>
      <c r="I351" s="2"/>
      <c r="J351" s="2"/>
      <c r="N351" s="2"/>
    </row>
    <row r="352" spans="1:14" ht="13.5" x14ac:dyDescent="0.15">
      <c r="A352" s="3"/>
      <c r="B352" s="2"/>
      <c r="C352" s="2"/>
      <c r="D352" s="2"/>
      <c r="E352" s="2"/>
      <c r="G352" s="5"/>
      <c r="H352" s="2"/>
      <c r="I352" s="2"/>
      <c r="J352" s="2"/>
      <c r="N352" s="2"/>
    </row>
    <row r="353" spans="1:14" ht="13.5" x14ac:dyDescent="0.15">
      <c r="A353" s="3"/>
      <c r="B353" s="2"/>
      <c r="C353" s="2"/>
      <c r="D353" s="2"/>
      <c r="E353" s="2"/>
      <c r="G353" s="5"/>
      <c r="H353" s="2"/>
      <c r="I353" s="2"/>
      <c r="J353" s="2"/>
      <c r="N353" s="2"/>
    </row>
    <row r="354" spans="1:14" ht="13.5" x14ac:dyDescent="0.15">
      <c r="A354" s="3"/>
      <c r="B354" s="2"/>
      <c r="C354" s="2"/>
      <c r="D354" s="2"/>
      <c r="E354" s="2"/>
      <c r="G354" s="2"/>
      <c r="H354" s="2"/>
      <c r="I354" s="2"/>
      <c r="J354" s="2"/>
      <c r="N354" s="2"/>
    </row>
    <row r="355" spans="1:14" ht="13.5" x14ac:dyDescent="0.15">
      <c r="A355" s="3"/>
      <c r="B355" s="2"/>
      <c r="C355" s="2"/>
      <c r="D355" s="2"/>
      <c r="E355" s="2"/>
      <c r="G355" s="2"/>
      <c r="H355" s="2"/>
      <c r="I355" s="2"/>
      <c r="J355" s="2"/>
      <c r="N355" s="2"/>
    </row>
    <row r="356" spans="1:14" ht="13.5" x14ac:dyDescent="0.15">
      <c r="A356" s="3"/>
      <c r="B356" s="2"/>
      <c r="C356" s="2"/>
      <c r="D356" s="2"/>
      <c r="H356" s="2"/>
      <c r="J356" s="2"/>
      <c r="N356" s="2"/>
    </row>
    <row r="357" spans="1:14" ht="13.5" x14ac:dyDescent="0.15">
      <c r="A357" s="3"/>
      <c r="B357" s="2"/>
      <c r="C357" s="2"/>
      <c r="D357" s="2"/>
      <c r="H357" s="2"/>
      <c r="J357" s="2"/>
      <c r="N357" s="2"/>
    </row>
    <row r="358" spans="1:14" ht="13.5" x14ac:dyDescent="0.15">
      <c r="A358" s="3"/>
      <c r="B358" s="2"/>
      <c r="C358" s="2"/>
      <c r="D358" s="2"/>
      <c r="H358" s="2"/>
      <c r="J358" s="2"/>
      <c r="N358" s="2"/>
    </row>
    <row r="359" spans="1:14" ht="13.5" x14ac:dyDescent="0.15">
      <c r="A359" s="3"/>
      <c r="B359" s="2"/>
      <c r="C359" s="2"/>
      <c r="D359" s="2"/>
      <c r="E359" s="2"/>
      <c r="G359" s="5"/>
      <c r="H359" s="2"/>
      <c r="I359" s="2"/>
      <c r="J359" s="2"/>
      <c r="N359" s="2"/>
    </row>
    <row r="360" spans="1:14" ht="13.5" x14ac:dyDescent="0.15">
      <c r="A360" s="3"/>
      <c r="B360" s="2"/>
      <c r="C360" s="2"/>
      <c r="D360" s="2"/>
      <c r="E360" s="2"/>
      <c r="G360" s="2"/>
      <c r="H360" s="2"/>
      <c r="I360" s="2"/>
      <c r="J360" s="2"/>
      <c r="N360" s="2"/>
    </row>
    <row r="361" spans="1:14" ht="13.5" x14ac:dyDescent="0.15">
      <c r="A361" s="3"/>
      <c r="B361" s="2"/>
      <c r="C361" s="2"/>
      <c r="D361" s="2"/>
      <c r="E361" s="2"/>
      <c r="G361" s="2"/>
      <c r="H361" s="2"/>
      <c r="I361" s="2"/>
      <c r="J361" s="2"/>
      <c r="N361" s="2"/>
    </row>
    <row r="362" spans="1:14" ht="13.5" x14ac:dyDescent="0.15">
      <c r="A362" s="3"/>
      <c r="B362" s="2"/>
      <c r="C362" s="2"/>
      <c r="D362" s="2"/>
      <c r="E362" s="2"/>
      <c r="G362" s="2"/>
      <c r="H362" s="2"/>
      <c r="I362" s="2"/>
      <c r="J362" s="2"/>
      <c r="N362" s="2"/>
    </row>
    <row r="363" spans="1:14" ht="13.5" x14ac:dyDescent="0.15">
      <c r="A363" s="3"/>
      <c r="B363" s="2"/>
      <c r="C363" s="2"/>
      <c r="D363" s="2"/>
      <c r="E363" s="2"/>
      <c r="G363" s="2"/>
      <c r="H363" s="2"/>
      <c r="I363" s="2"/>
      <c r="J363" s="2"/>
      <c r="N363" s="2"/>
    </row>
    <row r="364" spans="1:14" ht="13.5" x14ac:dyDescent="0.15">
      <c r="A364" s="3"/>
      <c r="B364" s="2"/>
      <c r="C364" s="2"/>
      <c r="D364" s="2"/>
      <c r="E364" s="2"/>
      <c r="G364" s="2"/>
      <c r="H364" s="2"/>
      <c r="I364" s="2"/>
      <c r="J364" s="2"/>
      <c r="N364" s="2"/>
    </row>
    <row r="365" spans="1:14" ht="13.5" x14ac:dyDescent="0.15">
      <c r="A365" s="3"/>
      <c r="B365" s="2"/>
      <c r="C365" s="2"/>
      <c r="D365" s="2"/>
      <c r="E365" s="2"/>
      <c r="G365" s="2"/>
      <c r="H365" s="2"/>
      <c r="I365" s="2"/>
      <c r="J365" s="2"/>
      <c r="N365" s="2"/>
    </row>
    <row r="366" spans="1:14" ht="13.5" x14ac:dyDescent="0.15">
      <c r="A366" s="3"/>
      <c r="B366" s="2"/>
      <c r="C366" s="2"/>
      <c r="D366" s="2"/>
      <c r="E366" s="2"/>
      <c r="G366" s="2"/>
      <c r="H366" s="2"/>
      <c r="I366" s="2"/>
      <c r="J366" s="2"/>
      <c r="N366" s="2"/>
    </row>
    <row r="367" spans="1:14" ht="13.5" x14ac:dyDescent="0.15">
      <c r="A367" s="3"/>
      <c r="B367" s="2"/>
      <c r="C367" s="2"/>
      <c r="D367" s="2"/>
      <c r="E367" s="2"/>
      <c r="G367" s="2"/>
      <c r="H367" s="2"/>
      <c r="I367" s="2"/>
      <c r="J367" s="2"/>
      <c r="N367" s="2"/>
    </row>
    <row r="368" spans="1:14" ht="13.5" x14ac:dyDescent="0.15">
      <c r="A368" s="3"/>
      <c r="B368" s="2"/>
      <c r="C368" s="2"/>
      <c r="D368" s="2"/>
      <c r="E368" s="2"/>
      <c r="G368" s="2"/>
      <c r="H368" s="2"/>
      <c r="I368" s="2"/>
      <c r="J368" s="2"/>
      <c r="N368" s="2"/>
    </row>
    <row r="369" spans="1:14" ht="13.5" x14ac:dyDescent="0.15">
      <c r="A369" s="3"/>
      <c r="B369" s="2"/>
      <c r="C369" s="2"/>
      <c r="D369" s="2"/>
      <c r="E369" s="2"/>
      <c r="G369" s="2"/>
      <c r="H369" s="2"/>
      <c r="I369" s="2"/>
      <c r="J369" s="2"/>
      <c r="N369" s="2"/>
    </row>
    <row r="370" spans="1:14" ht="13.5" x14ac:dyDescent="0.15">
      <c r="A370" s="3"/>
      <c r="B370" s="2"/>
      <c r="C370" s="2"/>
      <c r="D370" s="2"/>
      <c r="E370" s="2"/>
      <c r="G370" s="2"/>
      <c r="H370" s="2"/>
      <c r="I370" s="2"/>
      <c r="J370" s="2"/>
      <c r="N370" s="2"/>
    </row>
    <row r="371" spans="1:14" ht="13.5" x14ac:dyDescent="0.15">
      <c r="A371" s="3"/>
      <c r="B371" s="2"/>
      <c r="C371" s="2"/>
      <c r="D371" s="2"/>
      <c r="E371" s="2"/>
      <c r="G371" s="2"/>
      <c r="H371" s="2"/>
      <c r="I371" s="2"/>
      <c r="J371" s="2"/>
      <c r="N371" s="2"/>
    </row>
    <row r="372" spans="1:14" ht="13.5" x14ac:dyDescent="0.15">
      <c r="A372" s="3"/>
      <c r="B372" s="2"/>
      <c r="C372" s="2"/>
      <c r="D372" s="2"/>
      <c r="E372" s="2"/>
      <c r="G372" s="2"/>
      <c r="H372" s="2"/>
      <c r="I372" s="2"/>
      <c r="J372" s="2"/>
      <c r="N372" s="2"/>
    </row>
    <row r="373" spans="1:14" ht="13.5" x14ac:dyDescent="0.15">
      <c r="A373" s="3"/>
      <c r="B373" s="2"/>
      <c r="C373" s="2"/>
      <c r="D373" s="2"/>
      <c r="E373" s="2"/>
      <c r="G373" s="2"/>
      <c r="H373" s="2"/>
      <c r="I373" s="2"/>
      <c r="J373" s="2"/>
      <c r="N373" s="2"/>
    </row>
    <row r="374" spans="1:14" ht="13.5" x14ac:dyDescent="0.15">
      <c r="A374" s="3"/>
      <c r="B374" s="2"/>
      <c r="C374" s="2"/>
      <c r="D374" s="2"/>
      <c r="E374" s="2"/>
      <c r="G374" s="2"/>
      <c r="H374" s="2"/>
      <c r="I374" s="2"/>
      <c r="J374" s="2"/>
      <c r="N374" s="2"/>
    </row>
    <row r="375" spans="1:14" ht="13.5" x14ac:dyDescent="0.15">
      <c r="A375" s="3"/>
      <c r="B375" s="2"/>
      <c r="C375" s="2"/>
      <c r="D375" s="2"/>
      <c r="E375" s="2"/>
      <c r="G375" s="2"/>
      <c r="H375" s="2"/>
      <c r="I375" s="2"/>
      <c r="J375" s="2"/>
      <c r="N375" s="2"/>
    </row>
    <row r="376" spans="1:14" ht="13.5" x14ac:dyDescent="0.15">
      <c r="A376" s="3"/>
      <c r="B376" s="2"/>
      <c r="C376" s="2"/>
      <c r="D376" s="2"/>
      <c r="H376" s="2"/>
      <c r="J376" s="2"/>
      <c r="N376" s="2"/>
    </row>
    <row r="377" spans="1:14" ht="13.5" x14ac:dyDescent="0.15">
      <c r="A377" s="3"/>
      <c r="B377" s="2"/>
      <c r="C377" s="2"/>
      <c r="D377" s="2"/>
      <c r="E377" s="2"/>
      <c r="G377" s="2"/>
      <c r="H377" s="2"/>
      <c r="I377" s="2"/>
      <c r="J377" s="2"/>
      <c r="N377" s="2"/>
    </row>
    <row r="378" spans="1:14" ht="13.5" x14ac:dyDescent="0.15">
      <c r="A378" s="3"/>
      <c r="B378" s="2"/>
      <c r="C378" s="2"/>
      <c r="D378" s="2"/>
      <c r="E378" s="2"/>
      <c r="G378" s="2"/>
      <c r="H378" s="2"/>
      <c r="I378" s="2"/>
      <c r="J378" s="2"/>
      <c r="N378" s="2"/>
    </row>
    <row r="379" spans="1:14" ht="13.5" x14ac:dyDescent="0.15">
      <c r="A379" s="3"/>
      <c r="B379" s="2"/>
      <c r="C379" s="2"/>
      <c r="D379" s="2"/>
      <c r="H379" s="2"/>
      <c r="J379" s="2"/>
      <c r="N379" s="2"/>
    </row>
    <row r="380" spans="1:14" ht="13.5" x14ac:dyDescent="0.15">
      <c r="A380" s="3"/>
      <c r="B380" s="2"/>
      <c r="C380" s="2"/>
      <c r="D380" s="2"/>
      <c r="E380" s="2"/>
      <c r="G380" s="2"/>
      <c r="H380" s="2"/>
      <c r="I380" s="2"/>
      <c r="J380" s="2"/>
      <c r="N380" s="2"/>
    </row>
    <row r="381" spans="1:14" ht="13.5" x14ac:dyDescent="0.15">
      <c r="A381" s="3"/>
      <c r="B381" s="2"/>
      <c r="C381" s="2"/>
      <c r="D381" s="2"/>
      <c r="E381" s="2"/>
      <c r="G381" s="2"/>
      <c r="H381" s="2"/>
      <c r="I381" s="2"/>
      <c r="J381" s="2"/>
      <c r="N381" s="2"/>
    </row>
    <row r="382" spans="1:14" ht="13.5" x14ac:dyDescent="0.15">
      <c r="A382" s="3"/>
      <c r="B382" s="2"/>
      <c r="C382" s="2"/>
      <c r="D382" s="2"/>
      <c r="H382" s="2"/>
      <c r="J382" s="2"/>
      <c r="N382" s="2"/>
    </row>
    <row r="383" spans="1:14" ht="13.5" x14ac:dyDescent="0.15">
      <c r="A383" s="3"/>
      <c r="B383" s="2"/>
      <c r="C383" s="2"/>
      <c r="D383" s="2"/>
      <c r="E383" s="2"/>
      <c r="G383" s="2"/>
      <c r="H383" s="2"/>
      <c r="I383" s="2"/>
      <c r="J383" s="2"/>
      <c r="N383" s="2"/>
    </row>
    <row r="384" spans="1:14" ht="13.5" x14ac:dyDescent="0.15">
      <c r="A384" s="3"/>
      <c r="B384" s="2"/>
      <c r="C384" s="2"/>
      <c r="D384" s="2"/>
      <c r="E384" s="2"/>
      <c r="G384" s="2"/>
      <c r="H384" s="2"/>
      <c r="I384" s="2"/>
      <c r="J384" s="2"/>
      <c r="N384" s="2"/>
    </row>
    <row r="385" spans="1:14" ht="13.5" x14ac:dyDescent="0.15">
      <c r="A385" s="3"/>
      <c r="B385" s="2"/>
      <c r="C385" s="2"/>
      <c r="D385" s="2"/>
      <c r="H385" s="2"/>
      <c r="J385" s="2"/>
      <c r="N385" s="2"/>
    </row>
    <row r="386" spans="1:14" ht="13.5" x14ac:dyDescent="0.15">
      <c r="A386" s="3"/>
      <c r="B386" s="2"/>
      <c r="C386" s="2"/>
      <c r="D386" s="2"/>
      <c r="E386" s="2"/>
      <c r="G386" s="2"/>
      <c r="H386" s="2"/>
      <c r="I386" s="2"/>
      <c r="J386" s="2"/>
      <c r="N386" s="2"/>
    </row>
    <row r="387" spans="1:14" ht="13.5" x14ac:dyDescent="0.15">
      <c r="A387" s="3"/>
      <c r="B387" s="2"/>
      <c r="C387" s="2"/>
      <c r="D387" s="2"/>
      <c r="E387" s="2"/>
      <c r="G387" s="2"/>
      <c r="H387" s="2"/>
      <c r="I387" s="2"/>
      <c r="J387" s="2"/>
      <c r="N387" s="2"/>
    </row>
    <row r="388" spans="1:14" ht="13.5" x14ac:dyDescent="0.15">
      <c r="A388" s="3"/>
      <c r="B388" s="2"/>
      <c r="C388" s="2"/>
      <c r="D388" s="2"/>
      <c r="H388" s="2"/>
      <c r="J388" s="2"/>
      <c r="N388" s="2"/>
    </row>
    <row r="389" spans="1:14" ht="13.5" x14ac:dyDescent="0.15">
      <c r="A389" s="3"/>
      <c r="B389" s="2"/>
      <c r="C389" s="2"/>
      <c r="D389" s="2"/>
      <c r="E389" s="2"/>
      <c r="G389" s="2"/>
      <c r="H389" s="2"/>
      <c r="I389" s="2"/>
      <c r="J389" s="2"/>
      <c r="N389" s="2"/>
    </row>
    <row r="390" spans="1:14" ht="13.5" x14ac:dyDescent="0.15">
      <c r="A390" s="3"/>
      <c r="B390" s="2"/>
      <c r="C390" s="2"/>
      <c r="D390" s="2"/>
      <c r="E390" s="2"/>
      <c r="G390" s="2"/>
      <c r="H390" s="2"/>
      <c r="I390" s="2"/>
      <c r="J390" s="2"/>
      <c r="N390" s="2"/>
    </row>
    <row r="391" spans="1:14" ht="13.5" x14ac:dyDescent="0.15">
      <c r="A391" s="3"/>
      <c r="B391" s="2"/>
      <c r="C391" s="2"/>
      <c r="D391" s="2"/>
      <c r="H391" s="2"/>
      <c r="J391" s="2"/>
      <c r="N391" s="2"/>
    </row>
    <row r="392" spans="1:14" ht="13.5" x14ac:dyDescent="0.15">
      <c r="A392" s="3"/>
      <c r="B392" s="2"/>
      <c r="C392" s="2"/>
      <c r="D392" s="2"/>
      <c r="H392" s="2"/>
      <c r="J392" s="2"/>
    </row>
    <row r="393" spans="1:14" ht="13.5" x14ac:dyDescent="0.15">
      <c r="A393" s="3"/>
      <c r="B393" s="2"/>
      <c r="C393" s="2"/>
      <c r="D393" s="2"/>
      <c r="H393" s="2"/>
      <c r="J393" s="2"/>
    </row>
    <row r="394" spans="1:14" ht="13.5" x14ac:dyDescent="0.15">
      <c r="A394" s="3"/>
      <c r="B394" s="2"/>
      <c r="C394" s="2"/>
      <c r="D394" s="2"/>
      <c r="E394" s="2"/>
      <c r="G394" s="2"/>
      <c r="H394" s="2"/>
      <c r="I394" s="2"/>
      <c r="J394" s="2"/>
      <c r="N394" s="2"/>
    </row>
    <row r="395" spans="1:14" ht="13.5" x14ac:dyDescent="0.15">
      <c r="A395" s="3"/>
      <c r="B395" s="2"/>
      <c r="C395" s="2"/>
      <c r="D395" s="2"/>
      <c r="E395" s="2"/>
      <c r="G395" s="2"/>
      <c r="H395" s="2"/>
      <c r="I395" s="2"/>
      <c r="J395" s="2"/>
      <c r="N395" s="2"/>
    </row>
    <row r="396" spans="1:14" ht="13.5" x14ac:dyDescent="0.15">
      <c r="A396" s="3"/>
      <c r="B396" s="2"/>
      <c r="C396" s="2"/>
      <c r="D396" s="2"/>
      <c r="H396" s="2"/>
      <c r="J396" s="2"/>
      <c r="N396" s="2"/>
    </row>
    <row r="397" spans="1:14" ht="13.5" x14ac:dyDescent="0.15">
      <c r="A397" s="3"/>
      <c r="B397" s="2"/>
      <c r="C397" s="2"/>
      <c r="D397" s="2"/>
      <c r="E397" s="2"/>
      <c r="G397" s="2"/>
      <c r="H397" s="2"/>
      <c r="I397" s="2"/>
      <c r="J397" s="2"/>
      <c r="N397" s="2"/>
    </row>
    <row r="398" spans="1:14" ht="13.5" x14ac:dyDescent="0.15">
      <c r="A398" s="3"/>
      <c r="B398" s="2"/>
      <c r="C398" s="2"/>
      <c r="D398" s="2"/>
      <c r="E398" s="2"/>
      <c r="G398" s="2"/>
      <c r="H398" s="2"/>
      <c r="I398" s="2"/>
      <c r="J398" s="2"/>
      <c r="N398" s="2"/>
    </row>
    <row r="399" spans="1:14" ht="13.5" x14ac:dyDescent="0.15">
      <c r="A399" s="3"/>
      <c r="B399" s="2"/>
      <c r="C399" s="2"/>
      <c r="D399" s="2"/>
      <c r="H399" s="2"/>
      <c r="J399" s="2"/>
      <c r="N399" s="2"/>
    </row>
    <row r="400" spans="1:14" ht="13.5" x14ac:dyDescent="0.15">
      <c r="A400" s="3"/>
      <c r="B400" s="2"/>
      <c r="C400" s="2"/>
      <c r="D400" s="2"/>
      <c r="H400" s="2"/>
      <c r="J400" s="2"/>
    </row>
    <row r="401" spans="1:14" ht="13.5" x14ac:dyDescent="0.15">
      <c r="A401" s="3"/>
      <c r="B401" s="2"/>
      <c r="C401" s="2"/>
      <c r="D401" s="2"/>
      <c r="E401" s="2"/>
      <c r="G401" s="2"/>
      <c r="H401" s="2"/>
      <c r="I401" s="2"/>
      <c r="J401" s="2"/>
      <c r="N401" s="2"/>
    </row>
    <row r="402" spans="1:14" ht="13.5" x14ac:dyDescent="0.15">
      <c r="A402" s="3"/>
      <c r="B402" s="2"/>
      <c r="C402" s="2"/>
      <c r="D402" s="2"/>
      <c r="E402" s="2"/>
      <c r="G402" s="5"/>
      <c r="H402" s="2"/>
      <c r="I402" s="2"/>
      <c r="J402" s="2"/>
      <c r="N402" s="2"/>
    </row>
    <row r="403" spans="1:14" ht="13.5" x14ac:dyDescent="0.15">
      <c r="A403" s="3"/>
      <c r="B403" s="2"/>
      <c r="C403" s="2"/>
      <c r="D403" s="2"/>
      <c r="E403" s="2"/>
      <c r="G403" s="5"/>
      <c r="H403" s="2"/>
      <c r="I403" s="2"/>
      <c r="J403" s="2"/>
      <c r="N403" s="2"/>
    </row>
    <row r="404" spans="1:14" ht="13.5" x14ac:dyDescent="0.15">
      <c r="A404" s="3"/>
      <c r="B404" s="2"/>
      <c r="C404" s="2"/>
      <c r="D404" s="2"/>
      <c r="E404" s="2"/>
      <c r="G404" s="5"/>
      <c r="H404" s="2"/>
      <c r="I404" s="2"/>
      <c r="J404" s="2"/>
      <c r="N404" s="2"/>
    </row>
    <row r="405" spans="1:14" ht="13.5" x14ac:dyDescent="0.15">
      <c r="A405" s="3"/>
      <c r="B405" s="2"/>
      <c r="C405" s="2"/>
      <c r="D405" s="2"/>
      <c r="E405" s="2"/>
      <c r="G405" s="2"/>
      <c r="H405" s="2"/>
      <c r="I405" s="2"/>
      <c r="J405" s="2"/>
      <c r="N405" s="2"/>
    </row>
    <row r="406" spans="1:14" ht="13.5" x14ac:dyDescent="0.15">
      <c r="A406" s="3"/>
      <c r="B406" s="2"/>
      <c r="C406" s="2"/>
      <c r="D406" s="2"/>
      <c r="E406" s="2"/>
      <c r="G406" s="2"/>
      <c r="H406" s="2"/>
      <c r="I406" s="2"/>
      <c r="J406" s="2"/>
      <c r="N406" s="2"/>
    </row>
    <row r="407" spans="1:14" ht="13.5" x14ac:dyDescent="0.15">
      <c r="A407" s="3"/>
      <c r="B407" s="2"/>
      <c r="C407" s="2"/>
      <c r="D407" s="2"/>
      <c r="H407" s="2"/>
      <c r="J407" s="2"/>
      <c r="N407" s="2"/>
    </row>
    <row r="408" spans="1:14" ht="13.5" x14ac:dyDescent="0.15">
      <c r="A408" s="3"/>
      <c r="B408" s="2"/>
      <c r="C408" s="2"/>
      <c r="D408" s="2"/>
      <c r="E408" s="2"/>
      <c r="G408" s="2"/>
      <c r="H408" s="2"/>
      <c r="I408" s="2"/>
      <c r="J408" s="2"/>
      <c r="N408" s="2"/>
    </row>
    <row r="409" spans="1:14" ht="13.5" x14ac:dyDescent="0.15">
      <c r="A409" s="3"/>
      <c r="B409" s="2"/>
      <c r="C409" s="2"/>
      <c r="D409" s="2"/>
      <c r="E409" s="2"/>
      <c r="G409" s="2"/>
      <c r="H409" s="2"/>
      <c r="I409" s="2"/>
      <c r="J409" s="2"/>
      <c r="N409" s="2"/>
    </row>
    <row r="410" spans="1:14" ht="13.5" x14ac:dyDescent="0.15">
      <c r="A410" s="3"/>
      <c r="B410" s="2"/>
      <c r="C410" s="2"/>
      <c r="D410" s="2"/>
      <c r="E410" s="2"/>
      <c r="G410" s="2"/>
      <c r="H410" s="2"/>
      <c r="I410" s="2"/>
      <c r="J410" s="2"/>
      <c r="N410" s="2"/>
    </row>
    <row r="411" spans="1:14" ht="13.5" x14ac:dyDescent="0.15">
      <c r="A411" s="3"/>
      <c r="B411" s="2"/>
      <c r="C411" s="2"/>
      <c r="D411" s="2"/>
      <c r="E411" s="2"/>
      <c r="G411" s="2"/>
      <c r="H411" s="2"/>
      <c r="I411" s="2"/>
      <c r="J411" s="2"/>
      <c r="N411" s="2"/>
    </row>
    <row r="412" spans="1:14" ht="13.5" x14ac:dyDescent="0.15">
      <c r="A412" s="3"/>
      <c r="B412" s="2"/>
      <c r="C412" s="2"/>
      <c r="D412" s="2"/>
      <c r="E412" s="2"/>
      <c r="G412" s="2"/>
      <c r="H412" s="2"/>
      <c r="I412" s="2"/>
      <c r="J412" s="2"/>
      <c r="N412" s="2"/>
    </row>
    <row r="413" spans="1:14" ht="13.5" x14ac:dyDescent="0.15">
      <c r="A413" s="3"/>
      <c r="B413" s="2"/>
      <c r="C413" s="2"/>
      <c r="D413" s="2"/>
      <c r="E413" s="2"/>
      <c r="G413" s="2"/>
      <c r="H413" s="2"/>
      <c r="I413" s="2"/>
      <c r="J413" s="2"/>
      <c r="N413" s="2"/>
    </row>
    <row r="414" spans="1:14" ht="13.5" x14ac:dyDescent="0.15">
      <c r="A414" s="3"/>
      <c r="B414" s="2"/>
      <c r="C414" s="2"/>
      <c r="D414" s="2"/>
      <c r="E414" s="2"/>
      <c r="G414" s="2"/>
      <c r="H414" s="2"/>
      <c r="I414" s="2"/>
      <c r="N414" s="2"/>
    </row>
    <row r="415" spans="1:14" ht="13.5" x14ac:dyDescent="0.15">
      <c r="A415" s="3"/>
      <c r="B415" s="2"/>
      <c r="C415" s="2"/>
      <c r="D415" s="2"/>
      <c r="E415" s="2"/>
      <c r="G415" s="2"/>
      <c r="H415" s="2"/>
      <c r="I415" s="2"/>
      <c r="J415" s="2"/>
      <c r="N415" s="2"/>
    </row>
    <row r="416" spans="1:14" ht="13.5" x14ac:dyDescent="0.15">
      <c r="A416" s="3"/>
      <c r="B416" s="2"/>
      <c r="C416" s="2"/>
      <c r="D416" s="2"/>
      <c r="E416" s="2"/>
      <c r="G416" s="2"/>
      <c r="H416" s="2"/>
      <c r="I416" s="2"/>
      <c r="J416" s="2"/>
      <c r="N416" s="2"/>
    </row>
    <row r="417" spans="1:14" ht="13.5" x14ac:dyDescent="0.15">
      <c r="A417" s="3"/>
      <c r="B417" s="2"/>
      <c r="C417" s="2"/>
      <c r="D417" s="2"/>
      <c r="E417" s="2"/>
      <c r="G417" s="2"/>
      <c r="H417" s="2"/>
      <c r="I417" s="2"/>
      <c r="J417" s="2"/>
      <c r="N417" s="2"/>
    </row>
    <row r="418" spans="1:14" ht="13.5" x14ac:dyDescent="0.15">
      <c r="A418" s="3"/>
      <c r="B418" s="2"/>
      <c r="C418" s="2"/>
      <c r="D418" s="2"/>
      <c r="E418" s="2"/>
      <c r="G418" s="2"/>
      <c r="H418" s="2"/>
      <c r="I418" s="2"/>
      <c r="J418" s="2"/>
      <c r="N418" s="2"/>
    </row>
    <row r="419" spans="1:14" ht="13.5" x14ac:dyDescent="0.15">
      <c r="A419" s="3"/>
      <c r="B419" s="2"/>
      <c r="C419" s="2"/>
      <c r="D419" s="2"/>
      <c r="E419" s="2"/>
      <c r="G419" s="5"/>
      <c r="H419" s="2"/>
      <c r="I419" s="2"/>
      <c r="J419" s="2"/>
      <c r="N419" s="2"/>
    </row>
    <row r="420" spans="1:14" ht="13.5" x14ac:dyDescent="0.15">
      <c r="A420" s="3"/>
      <c r="B420" s="2"/>
      <c r="C420" s="2"/>
      <c r="D420" s="2"/>
      <c r="E420" s="2"/>
      <c r="G420" s="2"/>
      <c r="H420" s="2"/>
      <c r="I420" s="2"/>
      <c r="J420" s="2"/>
      <c r="N420" s="2"/>
    </row>
    <row r="421" spans="1:14" ht="13.5" x14ac:dyDescent="0.15">
      <c r="A421" s="3"/>
      <c r="B421" s="2"/>
      <c r="C421" s="2"/>
      <c r="D421" s="2"/>
      <c r="E421" s="2"/>
      <c r="G421" s="2"/>
      <c r="H421" s="2"/>
      <c r="I421" s="2"/>
      <c r="J421" s="2"/>
      <c r="N421" s="2"/>
    </row>
    <row r="422" spans="1:14" ht="13.5" x14ac:dyDescent="0.15">
      <c r="A422" s="3"/>
      <c r="B422" s="2"/>
      <c r="C422" s="2"/>
      <c r="D422" s="2"/>
      <c r="H422" s="2"/>
      <c r="J422" s="2"/>
      <c r="N422" s="2"/>
    </row>
    <row r="423" spans="1:14" ht="13.5" x14ac:dyDescent="0.15">
      <c r="A423" s="3"/>
      <c r="B423" s="2"/>
      <c r="C423" s="2"/>
      <c r="D423" s="2"/>
      <c r="E423" s="2"/>
      <c r="G423" s="5"/>
      <c r="H423" s="2"/>
      <c r="I423" s="2"/>
      <c r="J423" s="2"/>
      <c r="N423" s="2"/>
    </row>
    <row r="424" spans="1:14" ht="13.5" x14ac:dyDescent="0.15">
      <c r="A424" s="3"/>
      <c r="B424" s="2"/>
      <c r="C424" s="2"/>
      <c r="D424" s="2"/>
      <c r="E424" s="2"/>
      <c r="G424" s="5"/>
      <c r="H424" s="2"/>
      <c r="I424" s="2"/>
      <c r="J424" s="2"/>
      <c r="N424" s="2"/>
    </row>
    <row r="425" spans="1:14" ht="13.5" x14ac:dyDescent="0.15">
      <c r="A425" s="3"/>
      <c r="B425" s="2"/>
      <c r="C425" s="2"/>
      <c r="D425" s="2"/>
      <c r="E425" s="2"/>
      <c r="G425" s="5"/>
      <c r="H425" s="2"/>
      <c r="I425" s="2"/>
      <c r="J425" s="2"/>
      <c r="N425" s="2"/>
    </row>
    <row r="426" spans="1:14" ht="13.5" x14ac:dyDescent="0.15">
      <c r="A426" s="3"/>
      <c r="B426" s="2"/>
      <c r="C426" s="2"/>
      <c r="D426" s="2"/>
      <c r="E426" s="2"/>
      <c r="G426" s="5"/>
      <c r="H426" s="2"/>
      <c r="I426" s="2"/>
      <c r="J426" s="2"/>
      <c r="N426" s="2"/>
    </row>
    <row r="427" spans="1:14" ht="13.5" x14ac:dyDescent="0.15">
      <c r="A427" s="3"/>
      <c r="B427" s="2"/>
      <c r="C427" s="2"/>
      <c r="D427" s="2"/>
      <c r="E427" s="2"/>
      <c r="G427" s="5"/>
      <c r="H427" s="2"/>
      <c r="I427" s="2"/>
      <c r="J427" s="2"/>
      <c r="N427" s="2"/>
    </row>
    <row r="428" spans="1:14" ht="13.5" x14ac:dyDescent="0.15">
      <c r="A428" s="3"/>
      <c r="B428" s="2"/>
      <c r="C428" s="2"/>
      <c r="D428" s="2"/>
      <c r="E428" s="2"/>
      <c r="G428" s="5"/>
      <c r="H428" s="2"/>
      <c r="I428" s="2"/>
      <c r="J428" s="2"/>
      <c r="N428" s="2"/>
    </row>
    <row r="429" spans="1:14" ht="13.5" x14ac:dyDescent="0.15">
      <c r="A429" s="3"/>
      <c r="B429" s="2"/>
      <c r="C429" s="2"/>
      <c r="D429" s="2"/>
      <c r="E429" s="2"/>
      <c r="G429" s="5"/>
      <c r="H429" s="2"/>
      <c r="I429" s="2"/>
      <c r="J429" s="2"/>
      <c r="N429" s="2"/>
    </row>
    <row r="430" spans="1:14" ht="13.5" x14ac:dyDescent="0.15">
      <c r="A430" s="3"/>
      <c r="B430" s="2"/>
      <c r="C430" s="2"/>
      <c r="D430" s="2"/>
      <c r="E430" s="2"/>
      <c r="G430" s="5"/>
      <c r="H430" s="2"/>
      <c r="I430" s="2"/>
      <c r="J430" s="2"/>
      <c r="N430" s="2"/>
    </row>
    <row r="431" spans="1:14" ht="13.5" x14ac:dyDescent="0.15">
      <c r="A431" s="3"/>
      <c r="B431" s="2"/>
      <c r="C431" s="2"/>
      <c r="D431" s="2"/>
      <c r="E431" s="2"/>
      <c r="G431" s="5"/>
      <c r="H431" s="2"/>
      <c r="I431" s="2"/>
      <c r="J431" s="2"/>
      <c r="N431" s="2"/>
    </row>
    <row r="432" spans="1:14" ht="13.5" x14ac:dyDescent="0.15">
      <c r="A432" s="3"/>
      <c r="B432" s="2"/>
      <c r="C432" s="2"/>
      <c r="D432" s="2"/>
      <c r="E432" s="2"/>
      <c r="G432" s="5"/>
      <c r="H432" s="2"/>
      <c r="I432" s="2"/>
      <c r="J432" s="2"/>
      <c r="N432" s="2"/>
    </row>
    <row r="433" spans="1:14" ht="13.5" x14ac:dyDescent="0.15">
      <c r="A433" s="3"/>
      <c r="B433" s="2"/>
      <c r="C433" s="2"/>
      <c r="D433" s="2"/>
      <c r="E433" s="2"/>
      <c r="G433" s="5"/>
      <c r="H433" s="2"/>
      <c r="I433" s="2"/>
      <c r="J433" s="2"/>
      <c r="N433" s="2"/>
    </row>
    <row r="434" spans="1:14" ht="13.5" x14ac:dyDescent="0.15">
      <c r="A434" s="3"/>
      <c r="B434" s="2"/>
      <c r="C434" s="5"/>
      <c r="H434" s="5"/>
    </row>
    <row r="435" spans="1:14" ht="13.5" x14ac:dyDescent="0.15">
      <c r="A435" s="3"/>
      <c r="B435" s="2"/>
      <c r="C435" s="5"/>
      <c r="D435" s="2"/>
    </row>
    <row r="436" spans="1:14" ht="13.5" x14ac:dyDescent="0.15">
      <c r="A436" s="3"/>
      <c r="B436" s="2"/>
      <c r="C436" s="5"/>
      <c r="D436" s="2"/>
      <c r="J436" s="2"/>
    </row>
    <row r="437" spans="1:14" ht="13.5" x14ac:dyDescent="0.15">
      <c r="A437" s="3"/>
      <c r="B437" s="2"/>
      <c r="C437" s="5"/>
      <c r="D437" s="2"/>
      <c r="J437" s="2"/>
    </row>
    <row r="438" spans="1:14" ht="13.5" x14ac:dyDescent="0.15">
      <c r="A438" s="3"/>
      <c r="B438" s="2"/>
      <c r="C438" s="5"/>
      <c r="D438" s="2"/>
      <c r="E438" s="2"/>
      <c r="G438" s="2"/>
      <c r="H438" s="2"/>
      <c r="I438" s="2"/>
      <c r="J438" s="2"/>
    </row>
    <row r="439" spans="1:14" ht="13.5" x14ac:dyDescent="0.15">
      <c r="A439" s="3"/>
      <c r="B439" s="2"/>
      <c r="C439" s="2"/>
      <c r="D439" s="2"/>
      <c r="E439" s="2"/>
      <c r="G439" s="5"/>
      <c r="H439" s="2"/>
      <c r="I439" s="2"/>
      <c r="J439" s="2"/>
    </row>
    <row r="440" spans="1:14" ht="13.5" x14ac:dyDescent="0.15">
      <c r="A440" s="3"/>
      <c r="B440" s="2"/>
      <c r="C440" s="2"/>
      <c r="D440" s="2"/>
      <c r="E440" s="2"/>
      <c r="G440" s="5"/>
      <c r="H440" s="2"/>
      <c r="I440" s="2"/>
      <c r="J440" s="2"/>
    </row>
    <row r="441" spans="1:14" ht="13.5" x14ac:dyDescent="0.15">
      <c r="A441" s="3"/>
      <c r="B441" s="2"/>
      <c r="C441" s="2"/>
      <c r="D441" s="2"/>
      <c r="E441" s="2"/>
      <c r="G441" s="5"/>
      <c r="H441" s="2"/>
      <c r="I441" s="2"/>
      <c r="J441" s="2"/>
    </row>
    <row r="442" spans="1:14" ht="13.5" x14ac:dyDescent="0.15">
      <c r="A442" s="3"/>
      <c r="B442" s="2"/>
      <c r="C442" s="2"/>
      <c r="D442" s="2"/>
      <c r="E442" s="2"/>
      <c r="G442" s="5"/>
      <c r="H442" s="2"/>
      <c r="I442" s="2"/>
      <c r="J442" s="2"/>
    </row>
    <row r="443" spans="1:14" ht="13.5" x14ac:dyDescent="0.15">
      <c r="A443" s="3"/>
      <c r="B443" s="2"/>
      <c r="C443" s="2"/>
      <c r="D443" s="2"/>
      <c r="E443" s="2"/>
      <c r="G443" s="5"/>
      <c r="H443" s="2"/>
      <c r="I443" s="2"/>
      <c r="J443" s="2"/>
    </row>
    <row r="444" spans="1:14" ht="13.5" x14ac:dyDescent="0.15">
      <c r="A444" s="3"/>
      <c r="B444" s="2"/>
      <c r="C444" s="2"/>
      <c r="D444" s="2"/>
      <c r="E444" s="2"/>
      <c r="G444" s="5"/>
      <c r="H444" s="2"/>
      <c r="I444" s="2"/>
      <c r="J444" s="2"/>
    </row>
    <row r="445" spans="1:14" ht="13.5" x14ac:dyDescent="0.15">
      <c r="A445" s="3"/>
      <c r="B445" s="2"/>
      <c r="C445" s="2"/>
      <c r="D445" s="2"/>
      <c r="E445" s="2"/>
      <c r="G445" s="5"/>
      <c r="H445" s="2"/>
      <c r="I445" s="2"/>
      <c r="J445" s="2"/>
    </row>
    <row r="446" spans="1:14" ht="13.5" x14ac:dyDescent="0.15">
      <c r="A446" s="3"/>
      <c r="B446" s="2"/>
      <c r="C446" s="2"/>
      <c r="D446" s="2"/>
      <c r="E446" s="2"/>
      <c r="G446" s="5"/>
      <c r="H446" s="2"/>
      <c r="I446" s="2"/>
      <c r="J446" s="2"/>
    </row>
    <row r="447" spans="1:14" ht="13.5" x14ac:dyDescent="0.15">
      <c r="A447" s="3"/>
      <c r="B447" s="2"/>
      <c r="C447" s="2"/>
      <c r="D447" s="2"/>
      <c r="E447" s="2"/>
      <c r="G447" s="5"/>
      <c r="H447" s="2"/>
      <c r="I447" s="2"/>
      <c r="J447" s="2"/>
    </row>
    <row r="448" spans="1:14" ht="13.5" x14ac:dyDescent="0.15">
      <c r="A448" s="3"/>
      <c r="B448" s="2"/>
      <c r="C448" s="2"/>
      <c r="D448" s="2"/>
      <c r="E448" s="2"/>
      <c r="G448" s="5"/>
      <c r="H448" s="2"/>
      <c r="I448" s="2"/>
      <c r="J448" s="2"/>
    </row>
    <row r="449" spans="1:14" ht="13.5" x14ac:dyDescent="0.15">
      <c r="A449" s="3"/>
      <c r="B449" s="2"/>
      <c r="C449" s="2"/>
      <c r="D449" s="2"/>
      <c r="E449" s="2"/>
      <c r="G449" s="5"/>
      <c r="H449" s="2"/>
      <c r="I449" s="2"/>
      <c r="J449" s="2"/>
    </row>
    <row r="450" spans="1:14" ht="13.5" x14ac:dyDescent="0.15">
      <c r="A450" s="3"/>
      <c r="B450" s="2"/>
      <c r="C450" s="2"/>
      <c r="D450" s="2"/>
      <c r="E450" s="2"/>
      <c r="G450" s="5"/>
      <c r="H450" s="2"/>
      <c r="I450" s="2"/>
      <c r="J450" s="2"/>
    </row>
    <row r="451" spans="1:14" ht="13.5" x14ac:dyDescent="0.15">
      <c r="A451" s="3"/>
      <c r="B451" s="2"/>
      <c r="C451" s="2"/>
      <c r="D451" s="2"/>
      <c r="E451" s="2"/>
      <c r="G451" s="5"/>
      <c r="H451" s="2"/>
      <c r="I451" s="2"/>
      <c r="J451" s="2"/>
    </row>
    <row r="452" spans="1:14" ht="13.5" x14ac:dyDescent="0.15">
      <c r="A452" s="3"/>
      <c r="B452" s="2"/>
      <c r="C452" s="2"/>
      <c r="D452" s="2"/>
      <c r="E452" s="2"/>
      <c r="G452" s="5"/>
      <c r="H452" s="2"/>
      <c r="I452" s="2"/>
      <c r="J452" s="2"/>
    </row>
    <row r="453" spans="1:14" ht="13.5" x14ac:dyDescent="0.15">
      <c r="A453" s="3"/>
      <c r="B453" s="2"/>
      <c r="C453" s="2"/>
      <c r="D453" s="2"/>
      <c r="E453" s="2"/>
      <c r="G453" s="2"/>
      <c r="H453" s="2"/>
      <c r="I453" s="2"/>
      <c r="J453" s="2"/>
      <c r="N453" s="2"/>
    </row>
    <row r="454" spans="1:14" ht="13.5" x14ac:dyDescent="0.15">
      <c r="A454" s="3"/>
      <c r="B454" s="2"/>
      <c r="C454" s="2"/>
      <c r="D454" s="2"/>
      <c r="E454" s="2"/>
      <c r="G454" s="2"/>
      <c r="H454" s="2"/>
      <c r="I454" s="2"/>
      <c r="J454" s="2"/>
      <c r="N454" s="2"/>
    </row>
    <row r="455" spans="1:14" ht="13.5" x14ac:dyDescent="0.15">
      <c r="A455" s="3"/>
      <c r="B455" s="2"/>
      <c r="C455" s="2"/>
      <c r="D455" s="2"/>
      <c r="E455" s="2"/>
      <c r="G455" s="2"/>
      <c r="H455" s="2"/>
      <c r="I455" s="2"/>
      <c r="J455" s="2"/>
      <c r="N455" s="2"/>
    </row>
    <row r="456" spans="1:14" ht="13.5" x14ac:dyDescent="0.15">
      <c r="A456" s="3"/>
      <c r="B456" s="2"/>
      <c r="C456" s="2"/>
      <c r="D456" s="2"/>
      <c r="E456" s="2"/>
      <c r="G456" s="2"/>
      <c r="H456" s="2"/>
      <c r="I456" s="2"/>
      <c r="J456" s="2"/>
      <c r="N456" s="2"/>
    </row>
    <row r="457" spans="1:14" ht="13.5" x14ac:dyDescent="0.15">
      <c r="A457" s="3"/>
      <c r="B457" s="2"/>
      <c r="C457" s="2"/>
      <c r="D457" s="2"/>
      <c r="E457" s="2"/>
      <c r="G457" s="2"/>
      <c r="H457" s="2"/>
      <c r="I457" s="2"/>
      <c r="J457" s="2"/>
      <c r="N457" s="2"/>
    </row>
    <row r="458" spans="1:14" ht="13.5" x14ac:dyDescent="0.15">
      <c r="A458" s="3"/>
      <c r="B458" s="2"/>
      <c r="C458" s="2"/>
      <c r="D458" s="2"/>
      <c r="E458" s="2"/>
      <c r="G458" s="2"/>
      <c r="H458" s="2"/>
      <c r="I458" s="2"/>
      <c r="J458" s="2"/>
      <c r="N458" s="2"/>
    </row>
    <row r="459" spans="1:14" ht="13.5" x14ac:dyDescent="0.15">
      <c r="A459" s="3"/>
      <c r="B459" s="2"/>
      <c r="C459" s="2"/>
      <c r="D459" s="2"/>
      <c r="E459" s="2"/>
      <c r="G459" s="5"/>
      <c r="H459" s="2"/>
      <c r="I459" s="2"/>
      <c r="J459" s="2"/>
      <c r="N459" s="2"/>
    </row>
    <row r="460" spans="1:14" ht="13.5" x14ac:dyDescent="0.15">
      <c r="A460" s="3"/>
      <c r="B460" s="2"/>
      <c r="C460" s="2"/>
      <c r="D460" s="2"/>
      <c r="E460" s="2"/>
      <c r="G460" s="2"/>
      <c r="H460" s="2"/>
      <c r="I460" s="2"/>
      <c r="J460" s="2"/>
      <c r="N460" s="2"/>
    </row>
    <row r="461" spans="1:14" ht="13.5" x14ac:dyDescent="0.15">
      <c r="A461" s="3"/>
      <c r="B461" s="2"/>
      <c r="C461" s="2"/>
      <c r="D461" s="2"/>
      <c r="E461" s="2"/>
      <c r="G461" s="2"/>
      <c r="H461" s="2"/>
      <c r="I461" s="2"/>
      <c r="J461" s="2"/>
      <c r="N461" s="2"/>
    </row>
    <row r="462" spans="1:14" ht="13.5" x14ac:dyDescent="0.15">
      <c r="A462" s="3"/>
      <c r="B462" s="2"/>
      <c r="C462" s="5"/>
      <c r="D462" s="2"/>
      <c r="E462" s="2"/>
      <c r="H462" s="2"/>
    </row>
    <row r="463" spans="1:14" ht="13.5" x14ac:dyDescent="0.15">
      <c r="A463" s="3"/>
      <c r="B463" s="2"/>
      <c r="C463" s="2"/>
      <c r="D463" s="2"/>
      <c r="E463" s="2"/>
      <c r="G463" s="2"/>
      <c r="H463" s="2"/>
      <c r="I463" s="2"/>
      <c r="J463" s="2"/>
      <c r="N463" s="2"/>
    </row>
    <row r="464" spans="1:14" ht="13.5" x14ac:dyDescent="0.15">
      <c r="A464" s="3"/>
      <c r="B464" s="2"/>
      <c r="C464" s="2"/>
      <c r="E464" s="2"/>
    </row>
    <row r="465" spans="1:10" ht="13.5" x14ac:dyDescent="0.15">
      <c r="A465" s="3"/>
      <c r="B465" s="2"/>
      <c r="C465" s="2"/>
      <c r="D465" s="2"/>
      <c r="E465" s="2"/>
      <c r="G465" s="2"/>
      <c r="H465" s="2"/>
      <c r="I465" s="2"/>
      <c r="J465" s="2"/>
    </row>
    <row r="466" spans="1:10" ht="13.5" x14ac:dyDescent="0.15">
      <c r="A466" s="3"/>
      <c r="B466" s="2"/>
      <c r="C466" s="2"/>
      <c r="D466" s="2"/>
      <c r="E466" s="2"/>
      <c r="G466" s="2"/>
      <c r="H466" s="2"/>
      <c r="I466" s="2"/>
      <c r="J466" s="2"/>
    </row>
    <row r="467" spans="1:10" ht="13.5" x14ac:dyDescent="0.15">
      <c r="A467" s="3"/>
      <c r="B467" s="2"/>
      <c r="C467" s="2"/>
      <c r="D467" s="2"/>
      <c r="E467" s="2"/>
      <c r="G467" s="2"/>
      <c r="H467" s="2"/>
      <c r="I467" s="2"/>
      <c r="J467" s="2"/>
    </row>
    <row r="468" spans="1:10" ht="13.5" x14ac:dyDescent="0.15">
      <c r="A468" s="3"/>
      <c r="B468" s="2"/>
      <c r="C468" s="2"/>
      <c r="D468" s="2"/>
      <c r="E468" s="2"/>
      <c r="G468" s="2"/>
      <c r="H468" s="2"/>
      <c r="I468" s="2"/>
      <c r="J468" s="2"/>
    </row>
    <row r="469" spans="1:10" ht="13.5" x14ac:dyDescent="0.15">
      <c r="A469" s="3"/>
      <c r="B469" s="2"/>
      <c r="C469" s="2"/>
      <c r="D469" s="2"/>
      <c r="E469" s="2"/>
      <c r="G469" s="5"/>
      <c r="H469" s="2"/>
      <c r="I469" s="2"/>
      <c r="J469" s="2"/>
    </row>
    <row r="470" spans="1:10" ht="13.5" x14ac:dyDescent="0.15">
      <c r="A470" s="3"/>
      <c r="B470" s="2"/>
      <c r="C470" s="2"/>
      <c r="D470" s="2"/>
      <c r="E470" s="2"/>
      <c r="G470" s="5"/>
      <c r="H470" s="2"/>
      <c r="I470" s="2"/>
      <c r="J470" s="2"/>
    </row>
    <row r="471" spans="1:10" ht="13.5" x14ac:dyDescent="0.15">
      <c r="A471" s="3"/>
      <c r="B471" s="2"/>
      <c r="C471" s="2"/>
      <c r="D471" s="5"/>
      <c r="E471" s="2"/>
      <c r="G471" s="5"/>
    </row>
    <row r="472" spans="1:10" ht="13.5" x14ac:dyDescent="0.15">
      <c r="A472" s="3"/>
      <c r="B472" s="2"/>
      <c r="C472" s="5"/>
      <c r="E472" s="2"/>
    </row>
    <row r="473" spans="1:10" ht="13.5" x14ac:dyDescent="0.15">
      <c r="A473" s="3"/>
      <c r="B473" s="2"/>
      <c r="C473" s="2"/>
      <c r="D473" s="2"/>
      <c r="E473" s="2"/>
      <c r="G473" s="2"/>
      <c r="H473" s="2"/>
      <c r="I473" s="2"/>
      <c r="J473" s="2"/>
    </row>
    <row r="474" spans="1:10" ht="13.5" x14ac:dyDescent="0.15">
      <c r="A474" s="3"/>
      <c r="B474" s="2"/>
      <c r="C474" s="5"/>
      <c r="E474" s="2"/>
      <c r="H474" s="2"/>
    </row>
    <row r="475" spans="1:10" ht="13.5" x14ac:dyDescent="0.15">
      <c r="A475" s="3"/>
      <c r="B475" s="2"/>
      <c r="C475" s="2"/>
      <c r="D475" s="2"/>
      <c r="E475" s="2"/>
      <c r="G475" s="5"/>
      <c r="H475" s="2"/>
      <c r="I475" s="2"/>
      <c r="J475" s="2"/>
    </row>
    <row r="476" spans="1:10" ht="13.5" x14ac:dyDescent="0.15">
      <c r="A476" s="3"/>
      <c r="B476" s="2"/>
      <c r="C476" s="5"/>
      <c r="E476" s="2"/>
    </row>
    <row r="477" spans="1:10" ht="13.5" x14ac:dyDescent="0.15">
      <c r="A477" s="3"/>
      <c r="B477" s="2"/>
      <c r="C477" s="2"/>
      <c r="D477" s="2"/>
      <c r="E477" s="2"/>
      <c r="G477" s="2"/>
      <c r="H477" s="2"/>
      <c r="I477" s="2"/>
      <c r="J477" s="2"/>
    </row>
    <row r="478" spans="1:10" ht="13.5" x14ac:dyDescent="0.15">
      <c r="A478" s="3"/>
      <c r="B478" s="2"/>
      <c r="C478" s="5"/>
      <c r="E478" s="2"/>
      <c r="H478" s="2"/>
    </row>
    <row r="479" spans="1:10" ht="13.5" x14ac:dyDescent="0.15">
      <c r="A479" s="3"/>
      <c r="B479" s="2"/>
      <c r="C479" s="2"/>
      <c r="D479" s="2"/>
      <c r="E479" s="2"/>
      <c r="G479" s="5"/>
      <c r="H479" s="2"/>
      <c r="I479" s="2"/>
      <c r="J479" s="2"/>
    </row>
    <row r="480" spans="1:10" ht="13.5" x14ac:dyDescent="0.15">
      <c r="A480" s="3"/>
      <c r="B480" s="2"/>
      <c r="C480" s="5"/>
      <c r="E480" s="2"/>
    </row>
    <row r="481" spans="1:14" ht="13.5" x14ac:dyDescent="0.15">
      <c r="A481" s="3"/>
      <c r="B481" s="2"/>
      <c r="C481" s="2"/>
      <c r="D481" s="2"/>
      <c r="E481" s="2"/>
      <c r="G481" s="2"/>
      <c r="H481" s="2"/>
      <c r="I481" s="2"/>
      <c r="J481" s="2"/>
    </row>
    <row r="482" spans="1:14" ht="13.5" x14ac:dyDescent="0.15">
      <c r="A482" s="3"/>
      <c r="B482" s="2"/>
      <c r="C482" s="5"/>
      <c r="E482" s="2"/>
      <c r="H482" s="2"/>
    </row>
    <row r="483" spans="1:14" ht="13.5" x14ac:dyDescent="0.15">
      <c r="A483" s="3"/>
      <c r="B483" s="2"/>
      <c r="C483" s="2"/>
      <c r="D483" s="2"/>
      <c r="E483" s="2"/>
      <c r="G483" s="5"/>
      <c r="H483" s="2"/>
      <c r="I483" s="2"/>
      <c r="J483" s="2"/>
    </row>
    <row r="484" spans="1:14" ht="13.5" x14ac:dyDescent="0.15">
      <c r="A484" s="3"/>
      <c r="B484" s="2"/>
      <c r="C484" s="2"/>
      <c r="D484" s="2"/>
      <c r="E484" s="2"/>
      <c r="G484" s="5"/>
      <c r="H484" s="2"/>
      <c r="I484" s="2"/>
      <c r="J484" s="2"/>
    </row>
    <row r="485" spans="1:14" ht="13.5" x14ac:dyDescent="0.15">
      <c r="A485" s="3"/>
      <c r="B485" s="2"/>
      <c r="C485" s="2"/>
      <c r="D485" s="2"/>
      <c r="E485" s="2"/>
      <c r="G485" s="5"/>
      <c r="H485" s="2"/>
      <c r="I485" s="2"/>
      <c r="J485" s="2"/>
    </row>
    <row r="486" spans="1:14" ht="13.5" x14ac:dyDescent="0.15">
      <c r="A486" s="3"/>
      <c r="B486" s="2"/>
      <c r="C486" s="2"/>
      <c r="D486" s="2"/>
      <c r="E486" s="2"/>
      <c r="G486" s="5"/>
      <c r="H486" s="2"/>
      <c r="I486" s="2"/>
      <c r="J486" s="2"/>
    </row>
    <row r="487" spans="1:14" ht="13.5" x14ac:dyDescent="0.15">
      <c r="A487" s="3"/>
      <c r="B487" s="2"/>
      <c r="C487" s="2"/>
      <c r="D487" s="2"/>
      <c r="E487" s="2"/>
      <c r="G487" s="2"/>
      <c r="H487" s="2"/>
      <c r="I487" s="2"/>
      <c r="J487" s="2"/>
      <c r="N487" s="2"/>
    </row>
    <row r="488" spans="1:14" ht="13.5" x14ac:dyDescent="0.15">
      <c r="A488" s="3"/>
      <c r="B488" s="2"/>
      <c r="C488" s="2"/>
      <c r="D488" s="2"/>
      <c r="E488" s="2"/>
      <c r="G488" s="2"/>
      <c r="H488" s="2"/>
      <c r="I488" s="2"/>
      <c r="J488" s="2"/>
      <c r="N488" s="2"/>
    </row>
    <row r="489" spans="1:14" ht="13.5" x14ac:dyDescent="0.15">
      <c r="A489" s="3"/>
      <c r="B489" s="2"/>
      <c r="C489" s="2"/>
      <c r="D489" s="2"/>
      <c r="E489" s="2"/>
      <c r="G489" s="2"/>
      <c r="H489" s="2"/>
      <c r="I489" s="2"/>
      <c r="J489" s="2"/>
      <c r="N489" s="2"/>
    </row>
    <row r="490" spans="1:14" ht="13.5" x14ac:dyDescent="0.15">
      <c r="A490" s="3"/>
      <c r="B490" s="2"/>
      <c r="C490" s="2"/>
      <c r="D490" s="2"/>
      <c r="E490" s="2"/>
      <c r="G490" s="2"/>
      <c r="H490" s="2"/>
      <c r="I490" s="2"/>
      <c r="J490" s="2"/>
      <c r="N490" s="2"/>
    </row>
    <row r="491" spans="1:14" ht="13.5" x14ac:dyDescent="0.15">
      <c r="A491" s="3"/>
      <c r="B491" s="2"/>
      <c r="C491" s="2"/>
      <c r="D491" s="2"/>
      <c r="E491" s="2"/>
      <c r="G491" s="2"/>
      <c r="H491" s="2"/>
      <c r="I491" s="2"/>
      <c r="J491" s="2"/>
      <c r="N491" s="2"/>
    </row>
    <row r="492" spans="1:14" ht="13.5" x14ac:dyDescent="0.15">
      <c r="A492" s="3"/>
      <c r="B492" s="2"/>
      <c r="C492" s="2"/>
      <c r="D492" s="2"/>
      <c r="E492" s="2"/>
      <c r="G492" s="2"/>
      <c r="H492" s="2"/>
      <c r="I492" s="2"/>
      <c r="J492" s="2"/>
      <c r="N492" s="2"/>
    </row>
    <row r="493" spans="1:14" ht="13.5" x14ac:dyDescent="0.15">
      <c r="A493" s="3"/>
      <c r="B493" s="2"/>
      <c r="C493" s="2"/>
      <c r="D493" s="2"/>
      <c r="E493" s="2"/>
      <c r="G493" s="2"/>
      <c r="H493" s="2"/>
      <c r="I493" s="2"/>
      <c r="J493" s="2"/>
      <c r="N493" s="2"/>
    </row>
    <row r="494" spans="1:14" ht="13.5" x14ac:dyDescent="0.15">
      <c r="A494" s="3"/>
      <c r="B494" s="2"/>
      <c r="C494" s="2"/>
      <c r="D494" s="2"/>
      <c r="E494" s="2"/>
      <c r="G494" s="5"/>
      <c r="H494" s="2"/>
      <c r="I494" s="2"/>
      <c r="J494" s="2"/>
      <c r="N494" s="2"/>
    </row>
    <row r="495" spans="1:14" ht="13.5" x14ac:dyDescent="0.15">
      <c r="A495" s="3"/>
      <c r="B495" s="2"/>
      <c r="C495" s="2"/>
      <c r="D495" s="2"/>
      <c r="E495" s="2"/>
      <c r="G495" s="5"/>
      <c r="H495" s="2"/>
      <c r="I495" s="2"/>
      <c r="J495" s="2"/>
      <c r="N495" s="2"/>
    </row>
    <row r="496" spans="1:14" ht="13.5" x14ac:dyDescent="0.15">
      <c r="A496" s="3"/>
      <c r="B496" s="2"/>
      <c r="C496" s="2"/>
      <c r="D496" s="2"/>
      <c r="E496" s="2"/>
      <c r="G496" s="2"/>
      <c r="H496" s="2"/>
      <c r="I496" s="2"/>
      <c r="J496" s="2"/>
      <c r="N496" s="2"/>
    </row>
    <row r="497" spans="1:14" ht="13.5" x14ac:dyDescent="0.15">
      <c r="A497" s="3"/>
      <c r="B497" s="2"/>
      <c r="C497" s="2"/>
      <c r="D497" s="2"/>
      <c r="E497" s="2"/>
      <c r="G497" s="2"/>
      <c r="H497" s="2"/>
      <c r="I497" s="2"/>
      <c r="J497" s="2"/>
      <c r="N497" s="2"/>
    </row>
    <row r="498" spans="1:14" ht="13.5" x14ac:dyDescent="0.15">
      <c r="A498" s="3"/>
      <c r="B498" s="2"/>
      <c r="C498" s="2"/>
      <c r="D498" s="2"/>
      <c r="E498" s="2"/>
      <c r="G498" s="5"/>
      <c r="H498" s="2"/>
      <c r="I498" s="2"/>
      <c r="J498" s="2"/>
      <c r="N498" s="2"/>
    </row>
    <row r="499" spans="1:14" ht="13.5" x14ac:dyDescent="0.15">
      <c r="A499" s="3"/>
      <c r="B499" s="2"/>
      <c r="C499" s="2"/>
      <c r="D499" s="2"/>
      <c r="E499" s="2"/>
      <c r="G499" s="5"/>
      <c r="H499" s="2"/>
      <c r="I499" s="2"/>
      <c r="J499" s="2"/>
      <c r="N499" s="2"/>
    </row>
    <row r="500" spans="1:14" ht="13.5" x14ac:dyDescent="0.15">
      <c r="A500" s="3"/>
      <c r="B500" s="2"/>
      <c r="C500" s="2"/>
      <c r="D500" s="2"/>
      <c r="E500" s="2"/>
      <c r="G500" s="5"/>
      <c r="H500" s="2"/>
      <c r="I500" s="2"/>
      <c r="J500" s="2"/>
      <c r="N500" s="2"/>
    </row>
    <row r="501" spans="1:14" ht="13.5" x14ac:dyDescent="0.15">
      <c r="A501" s="3"/>
      <c r="B501" s="2"/>
      <c r="C501" s="2"/>
      <c r="D501" s="2"/>
      <c r="E501" s="2"/>
      <c r="G501" s="5"/>
      <c r="H501" s="2"/>
      <c r="I501" s="2"/>
      <c r="J501" s="2"/>
      <c r="N501" s="2"/>
    </row>
    <row r="502" spans="1:14" ht="13.5" x14ac:dyDescent="0.15">
      <c r="A502" s="3"/>
      <c r="B502" s="2"/>
      <c r="C502" s="2"/>
      <c r="D502" s="2"/>
      <c r="E502" s="2"/>
      <c r="G502" s="5"/>
      <c r="H502" s="2"/>
      <c r="I502" s="2"/>
      <c r="J502" s="2"/>
      <c r="N502" s="2"/>
    </row>
    <row r="503" spans="1:14" ht="13.5" x14ac:dyDescent="0.15">
      <c r="A503" s="3"/>
      <c r="B503" s="2"/>
      <c r="C503" s="2"/>
      <c r="D503" s="2"/>
      <c r="E503" s="2"/>
      <c r="G503" s="5"/>
      <c r="H503" s="2"/>
      <c r="I503" s="2"/>
    </row>
    <row r="504" spans="1:14" ht="13.5" x14ac:dyDescent="0.15">
      <c r="A504" s="3"/>
      <c r="B504" s="2"/>
      <c r="C504" s="2"/>
      <c r="D504" s="2"/>
      <c r="E504" s="2"/>
      <c r="G504" s="5"/>
      <c r="H504" s="2"/>
      <c r="I504" s="2"/>
    </row>
    <row r="505" spans="1:14" ht="13.5" x14ac:dyDescent="0.15"/>
    <row r="506" spans="1:14" ht="13.5" x14ac:dyDescent="0.15"/>
    <row r="507" spans="1:14" ht="13.5" x14ac:dyDescent="0.15"/>
    <row r="508" spans="1:14" ht="13.5" x14ac:dyDescent="0.15"/>
    <row r="509" spans="1:14" ht="13.5" x14ac:dyDescent="0.15"/>
    <row r="510" spans="1:14" ht="13.5" x14ac:dyDescent="0.15"/>
    <row r="511" spans="1:14" ht="13.5" x14ac:dyDescent="0.15"/>
    <row r="512" spans="1:14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5" ht="13.5" x14ac:dyDescent="0.15"/>
    <row r="526" ht="13.5" x14ac:dyDescent="0.15"/>
    <row r="527" ht="13.5" x14ac:dyDescent="0.15"/>
    <row r="528" ht="13.5" x14ac:dyDescent="0.15"/>
  </sheetData>
  <autoFilter ref="A2:O334"/>
  <sortState ref="A3:O3">
    <sortCondition ref="H1:H1048576"/>
    <sortCondition ref="I1:I1048576"/>
    <sortCondition ref="J1:J1048576"/>
    <sortCondition ref="A1:A1048576"/>
  </sortState>
  <mergeCells count="1">
    <mergeCell ref="A1:O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7"/>
  <sheetViews>
    <sheetView zoomScale="145" zoomScaleNormal="145" workbookViewId="0">
      <pane ySplit="2" topLeftCell="A3" activePane="bottomLeft" state="frozen"/>
      <selection pane="bottomLeft" activeCell="D9" sqref="D9"/>
    </sheetView>
  </sheetViews>
  <sheetFormatPr defaultRowHeight="13.5" x14ac:dyDescent="0.15"/>
  <cols>
    <col min="1" max="1" width="5.125" style="46" customWidth="1"/>
    <col min="2" max="2" width="8.375" style="46" customWidth="1"/>
    <col min="3" max="3" width="19.5" style="46" customWidth="1"/>
    <col min="4" max="4" width="11.75" style="46" customWidth="1"/>
    <col min="5" max="5" width="17.625" style="46" customWidth="1"/>
    <col min="6" max="6" width="19.875" style="46" customWidth="1"/>
    <col min="7" max="7" width="13" style="46" customWidth="1"/>
    <col min="8" max="8" width="13" style="46" bestFit="1" customWidth="1"/>
    <col min="9" max="9" width="9" style="46"/>
    <col min="10" max="10" width="5.375" style="46" customWidth="1"/>
    <col min="11" max="12" width="11.375" style="4" customWidth="1"/>
    <col min="13" max="15" width="9" style="46"/>
    <col min="16" max="16384" width="9" style="47"/>
  </cols>
  <sheetData>
    <row r="1" spans="1:15" s="42" customFormat="1" ht="18.75" x14ac:dyDescent="0.15">
      <c r="A1" s="104" t="s">
        <v>886</v>
      </c>
      <c r="B1" s="105"/>
      <c r="C1" s="105"/>
      <c r="D1" s="105"/>
      <c r="E1" s="105"/>
      <c r="F1" s="105"/>
      <c r="G1" s="105"/>
      <c r="H1" s="105"/>
      <c r="I1" s="105"/>
      <c r="J1" s="105"/>
      <c r="K1" s="106"/>
      <c r="L1" s="50"/>
    </row>
    <row r="2" spans="1:15" s="44" customFormat="1" ht="28.5" customHeight="1" x14ac:dyDescent="0.15">
      <c r="A2" s="16" t="s">
        <v>8</v>
      </c>
      <c r="B2" s="48" t="s">
        <v>37</v>
      </c>
      <c r="C2" s="48" t="s">
        <v>6</v>
      </c>
      <c r="D2" s="48" t="s">
        <v>7</v>
      </c>
      <c r="E2" s="48" t="s">
        <v>219</v>
      </c>
      <c r="F2" s="49" t="s">
        <v>10</v>
      </c>
      <c r="G2" s="16" t="s">
        <v>11</v>
      </c>
      <c r="H2" s="43" t="s">
        <v>14</v>
      </c>
      <c r="I2" s="44" t="s">
        <v>17</v>
      </c>
      <c r="J2" s="43" t="s">
        <v>4</v>
      </c>
      <c r="K2" s="45" t="s">
        <v>2</v>
      </c>
      <c r="L2" s="45"/>
      <c r="M2" s="44" t="s">
        <v>847</v>
      </c>
      <c r="N2" s="45" t="s">
        <v>845</v>
      </c>
      <c r="O2" s="45" t="s">
        <v>846</v>
      </c>
    </row>
    <row r="3" spans="1:15" x14ac:dyDescent="0.15">
      <c r="A3" s="46">
        <v>1</v>
      </c>
      <c r="K3" s="65"/>
      <c r="N3" s="46">
        <v>6</v>
      </c>
      <c r="O3" s="46">
        <f t="shared" ref="O3:O9" si="0">I3/N3</f>
        <v>0</v>
      </c>
    </row>
    <row r="4" spans="1:15" x14ac:dyDescent="0.15">
      <c r="K4" s="65"/>
      <c r="N4" s="46">
        <v>6</v>
      </c>
      <c r="O4" s="46">
        <f t="shared" si="0"/>
        <v>0</v>
      </c>
    </row>
    <row r="5" spans="1:15" x14ac:dyDescent="0.15">
      <c r="K5" s="65"/>
      <c r="N5" s="46">
        <v>6</v>
      </c>
      <c r="O5" s="46">
        <f t="shared" si="0"/>
        <v>0</v>
      </c>
    </row>
    <row r="6" spans="1:15" x14ac:dyDescent="0.15">
      <c r="K6" s="65"/>
      <c r="N6" s="46">
        <v>6</v>
      </c>
      <c r="O6" s="46">
        <f t="shared" si="0"/>
        <v>0</v>
      </c>
    </row>
    <row r="7" spans="1:15" x14ac:dyDescent="0.15">
      <c r="K7" s="65"/>
      <c r="N7" s="46">
        <v>6</v>
      </c>
      <c r="O7" s="46">
        <f t="shared" si="0"/>
        <v>0</v>
      </c>
    </row>
    <row r="8" spans="1:15" x14ac:dyDescent="0.15">
      <c r="K8" s="65"/>
      <c r="N8" s="46">
        <v>6</v>
      </c>
      <c r="O8" s="46">
        <f t="shared" si="0"/>
        <v>0</v>
      </c>
    </row>
    <row r="9" spans="1:15" x14ac:dyDescent="0.15">
      <c r="K9" s="65"/>
      <c r="N9" s="46">
        <f>1.22*2.44</f>
        <v>2.9767999999999999</v>
      </c>
      <c r="O9" s="46">
        <f t="shared" si="0"/>
        <v>0</v>
      </c>
    </row>
    <row r="10" spans="1:15" x14ac:dyDescent="0.15">
      <c r="K10" s="65"/>
    </row>
    <row r="11" spans="1:15" x14ac:dyDescent="0.15">
      <c r="K11" s="65"/>
      <c r="N11" s="46">
        <v>6</v>
      </c>
      <c r="O11" s="46">
        <f>I11/N11</f>
        <v>0</v>
      </c>
    </row>
    <row r="12" spans="1:15" x14ac:dyDescent="0.15">
      <c r="K12" s="65"/>
      <c r="N12" s="46">
        <v>6</v>
      </c>
      <c r="O12" s="46">
        <f>I12/N12</f>
        <v>0</v>
      </c>
    </row>
    <row r="13" spans="1:15" x14ac:dyDescent="0.15">
      <c r="K13" s="65"/>
    </row>
    <row r="14" spans="1:15" s="53" customFormat="1" x14ac:dyDescent="0.1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"/>
      <c r="L14" s="54"/>
      <c r="N14" s="53">
        <f>1.5*6</f>
        <v>9</v>
      </c>
      <c r="O14" s="53">
        <f>I14/N14</f>
        <v>0</v>
      </c>
    </row>
    <row r="15" spans="1:15" x14ac:dyDescent="0.15">
      <c r="N15" s="46">
        <v>6</v>
      </c>
      <c r="O15" s="46">
        <f>I15/N15</f>
        <v>0</v>
      </c>
    </row>
    <row r="16" spans="1:15" x14ac:dyDescent="0.15">
      <c r="N16" s="46">
        <v>6</v>
      </c>
      <c r="O16" s="46">
        <f>I16/N16</f>
        <v>0</v>
      </c>
    </row>
    <row r="17" spans="14:15" x14ac:dyDescent="0.15">
      <c r="N17" s="46">
        <v>6</v>
      </c>
      <c r="O17" s="46">
        <f>I17/N17</f>
        <v>0</v>
      </c>
    </row>
  </sheetData>
  <autoFilter ref="A2:O2">
    <sortState ref="A3:O13">
      <sortCondition ref="G2"/>
    </sortState>
  </autoFilter>
  <sortState ref="A3:K3">
    <sortCondition ref="B1:B1048576"/>
    <sortCondition ref="C1:C1048576"/>
    <sortCondition ref="D1:D1048576"/>
  </sortState>
  <mergeCells count="1">
    <mergeCell ref="A1:K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I312"/>
  <sheetViews>
    <sheetView zoomScale="160" zoomScaleNormal="160" workbookViewId="0">
      <pane ySplit="2" topLeftCell="A3" activePane="bottomLeft" state="frozen"/>
      <selection pane="bottomLeft" activeCell="A3" sqref="A3:A32"/>
    </sheetView>
  </sheetViews>
  <sheetFormatPr defaultRowHeight="15.95" customHeight="1" x14ac:dyDescent="0.15"/>
  <cols>
    <col min="1" max="1" width="4.75" style="65" bestFit="1" customWidth="1"/>
    <col min="2" max="2" width="5" style="9" customWidth="1"/>
    <col min="3" max="3" width="14.75" style="4" bestFit="1" customWidth="1"/>
    <col min="4" max="4" width="16.5" style="4" customWidth="1"/>
    <col min="5" max="5" width="15.5" style="4" customWidth="1"/>
    <col min="6" max="6" width="5" style="4" customWidth="1"/>
    <col min="7" max="7" width="8.75" style="4" bestFit="1" customWidth="1"/>
    <col min="8" max="8" width="5.625" style="4" customWidth="1"/>
    <col min="9" max="16384" width="9" style="4"/>
  </cols>
  <sheetData>
    <row r="1" spans="1:9" ht="21.75" customHeight="1" x14ac:dyDescent="0.15">
      <c r="B1" s="107" t="s">
        <v>1057</v>
      </c>
      <c r="C1" s="108"/>
      <c r="D1" s="108"/>
      <c r="E1" s="108"/>
      <c r="F1" s="108"/>
      <c r="G1" s="108"/>
      <c r="H1" s="108"/>
      <c r="I1" s="108"/>
    </row>
    <row r="2" spans="1:9" s="12" customFormat="1" ht="26.1" customHeight="1" x14ac:dyDescent="0.15">
      <c r="A2" s="95" t="s">
        <v>8</v>
      </c>
      <c r="B2" s="72" t="s">
        <v>868</v>
      </c>
      <c r="C2" s="73" t="s">
        <v>869</v>
      </c>
      <c r="D2" s="73" t="s">
        <v>870</v>
      </c>
      <c r="E2" s="73" t="s">
        <v>0</v>
      </c>
      <c r="F2" s="73" t="s">
        <v>867</v>
      </c>
      <c r="G2" s="73" t="s">
        <v>871</v>
      </c>
      <c r="H2" s="73" t="s">
        <v>872</v>
      </c>
      <c r="I2" s="73" t="s">
        <v>2</v>
      </c>
    </row>
    <row r="3" spans="1:9" ht="15.95" customHeight="1" x14ac:dyDescent="0.15">
      <c r="A3" s="65">
        <v>1</v>
      </c>
      <c r="B3" s="64" t="s">
        <v>898</v>
      </c>
      <c r="C3" s="63" t="s">
        <v>981</v>
      </c>
      <c r="D3" s="63" t="s">
        <v>899</v>
      </c>
      <c r="E3" s="63"/>
      <c r="F3" s="63">
        <v>2</v>
      </c>
      <c r="G3" s="63" t="s">
        <v>900</v>
      </c>
      <c r="H3" s="63">
        <v>0.6</v>
      </c>
      <c r="I3" s="65"/>
    </row>
    <row r="4" spans="1:9" ht="15.95" customHeight="1" x14ac:dyDescent="0.15">
      <c r="A4" s="65">
        <v>2</v>
      </c>
      <c r="B4" s="64" t="s">
        <v>918</v>
      </c>
      <c r="C4" s="63" t="s">
        <v>981</v>
      </c>
      <c r="D4" s="63" t="s">
        <v>899</v>
      </c>
      <c r="E4" s="63"/>
      <c r="F4" s="63">
        <v>2</v>
      </c>
      <c r="G4" s="63" t="s">
        <v>900</v>
      </c>
      <c r="H4" s="63">
        <v>0.6</v>
      </c>
      <c r="I4" s="19"/>
    </row>
    <row r="5" spans="1:9" ht="15.95" customHeight="1" x14ac:dyDescent="0.15">
      <c r="A5" s="65">
        <v>3</v>
      </c>
      <c r="B5" s="64" t="s">
        <v>904</v>
      </c>
      <c r="C5" s="63" t="s">
        <v>985</v>
      </c>
      <c r="D5" s="63" t="s">
        <v>905</v>
      </c>
      <c r="E5" s="63"/>
      <c r="F5" s="63">
        <v>1</v>
      </c>
      <c r="G5" s="63" t="s">
        <v>900</v>
      </c>
      <c r="H5" s="63">
        <v>0.4</v>
      </c>
      <c r="I5" s="65" t="s">
        <v>841</v>
      </c>
    </row>
    <row r="6" spans="1:9" ht="15.95" customHeight="1" x14ac:dyDescent="0.15">
      <c r="A6" s="65">
        <v>4</v>
      </c>
      <c r="B6" s="64" t="s">
        <v>902</v>
      </c>
      <c r="C6" s="63" t="s">
        <v>983</v>
      </c>
      <c r="D6" s="63" t="s">
        <v>903</v>
      </c>
      <c r="E6" s="63"/>
      <c r="F6" s="63">
        <v>1</v>
      </c>
      <c r="G6" s="63" t="s">
        <v>900</v>
      </c>
      <c r="H6" s="63">
        <v>0.1</v>
      </c>
      <c r="I6" s="65"/>
    </row>
    <row r="7" spans="1:9" ht="15.95" customHeight="1" x14ac:dyDescent="0.15">
      <c r="A7" s="65">
        <v>5</v>
      </c>
      <c r="B7" s="64" t="s">
        <v>909</v>
      </c>
      <c r="C7" s="63" t="s">
        <v>987</v>
      </c>
      <c r="D7" s="63" t="s">
        <v>910</v>
      </c>
      <c r="E7" s="63"/>
      <c r="F7" s="63">
        <v>1</v>
      </c>
      <c r="G7" s="63" t="s">
        <v>900</v>
      </c>
      <c r="H7" s="63">
        <v>0.1</v>
      </c>
      <c r="I7" s="65"/>
    </row>
    <row r="8" spans="1:9" ht="15.95" customHeight="1" x14ac:dyDescent="0.15">
      <c r="A8" s="65">
        <v>6</v>
      </c>
      <c r="B8" s="64" t="s">
        <v>911</v>
      </c>
      <c r="C8" s="63" t="s">
        <v>989</v>
      </c>
      <c r="D8" s="63" t="s">
        <v>912</v>
      </c>
      <c r="E8" s="63"/>
      <c r="F8" s="63">
        <v>1</v>
      </c>
      <c r="G8" s="63" t="s">
        <v>900</v>
      </c>
      <c r="H8" s="63">
        <v>0.7</v>
      </c>
      <c r="I8" s="19"/>
    </row>
    <row r="9" spans="1:9" ht="15.95" customHeight="1" x14ac:dyDescent="0.15">
      <c r="A9" s="65">
        <v>7</v>
      </c>
      <c r="B9" s="67" t="s">
        <v>913</v>
      </c>
      <c r="C9" s="65" t="s">
        <v>991</v>
      </c>
      <c r="D9" s="65" t="s">
        <v>914</v>
      </c>
      <c r="E9" s="65"/>
      <c r="F9" s="65">
        <v>1</v>
      </c>
      <c r="G9" s="65" t="s">
        <v>900</v>
      </c>
      <c r="H9" s="65">
        <v>0.1</v>
      </c>
      <c r="I9" s="65"/>
    </row>
    <row r="10" spans="1:9" ht="15.95" customHeight="1" x14ac:dyDescent="0.15">
      <c r="A10" s="65">
        <v>8</v>
      </c>
      <c r="B10" s="64" t="s">
        <v>919</v>
      </c>
      <c r="C10" s="63" t="s">
        <v>993</v>
      </c>
      <c r="D10" s="63" t="s">
        <v>920</v>
      </c>
      <c r="E10" s="63"/>
      <c r="F10" s="63">
        <v>2</v>
      </c>
      <c r="G10" s="63" t="s">
        <v>900</v>
      </c>
      <c r="H10" s="63">
        <v>0.4</v>
      </c>
      <c r="I10" s="65"/>
    </row>
    <row r="11" spans="1:9" ht="15.95" customHeight="1" x14ac:dyDescent="0.15">
      <c r="A11" s="65">
        <v>9</v>
      </c>
      <c r="B11" s="64" t="s">
        <v>885</v>
      </c>
      <c r="C11" s="63" t="s">
        <v>993</v>
      </c>
      <c r="D11" s="63" t="s">
        <v>920</v>
      </c>
      <c r="E11" s="63"/>
      <c r="F11" s="63">
        <v>2</v>
      </c>
      <c r="G11" s="63" t="s">
        <v>900</v>
      </c>
      <c r="H11" s="63">
        <v>0.4</v>
      </c>
      <c r="I11" s="65"/>
    </row>
    <row r="12" spans="1:9" ht="15.95" customHeight="1" x14ac:dyDescent="0.15">
      <c r="A12" s="65">
        <v>10</v>
      </c>
      <c r="B12" s="64" t="s">
        <v>921</v>
      </c>
      <c r="C12" s="63" t="s">
        <v>995</v>
      </c>
      <c r="D12" s="63" t="s">
        <v>922</v>
      </c>
      <c r="E12" s="63"/>
      <c r="F12" s="63">
        <v>1</v>
      </c>
      <c r="G12" s="63" t="s">
        <v>900</v>
      </c>
      <c r="H12" s="63">
        <v>0.2</v>
      </c>
      <c r="I12" s="65" t="s">
        <v>841</v>
      </c>
    </row>
    <row r="13" spans="1:9" ht="15.95" customHeight="1" x14ac:dyDescent="0.15">
      <c r="A13" s="65">
        <v>11</v>
      </c>
      <c r="B13" s="64" t="s">
        <v>879</v>
      </c>
      <c r="C13" s="63" t="s">
        <v>1001</v>
      </c>
      <c r="D13" s="63" t="s">
        <v>928</v>
      </c>
      <c r="E13" s="63"/>
      <c r="F13" s="63">
        <v>8</v>
      </c>
      <c r="G13" s="63" t="s">
        <v>929</v>
      </c>
      <c r="H13" s="63">
        <v>0.1</v>
      </c>
      <c r="I13" s="65" t="s">
        <v>841</v>
      </c>
    </row>
    <row r="14" spans="1:9" ht="15.95" customHeight="1" x14ac:dyDescent="0.15">
      <c r="A14" s="65">
        <v>12</v>
      </c>
      <c r="B14" s="67" t="s">
        <v>880</v>
      </c>
      <c r="C14" s="65" t="s">
        <v>1003</v>
      </c>
      <c r="D14" s="65" t="s">
        <v>930</v>
      </c>
      <c r="E14" s="65"/>
      <c r="F14" s="65">
        <v>1</v>
      </c>
      <c r="G14" s="65" t="s">
        <v>900</v>
      </c>
      <c r="H14" s="65">
        <v>0</v>
      </c>
      <c r="I14" s="65" t="s">
        <v>841</v>
      </c>
    </row>
    <row r="15" spans="1:9" ht="15.95" customHeight="1" x14ac:dyDescent="0.15">
      <c r="A15" s="65">
        <v>13</v>
      </c>
      <c r="B15" s="67" t="s">
        <v>881</v>
      </c>
      <c r="C15" s="65" t="s">
        <v>1005</v>
      </c>
      <c r="D15" s="65" t="s">
        <v>934</v>
      </c>
      <c r="E15" s="65"/>
      <c r="F15" s="65">
        <v>1</v>
      </c>
      <c r="G15" s="65">
        <v>304</v>
      </c>
      <c r="H15" s="65">
        <v>0</v>
      </c>
      <c r="I15" s="65"/>
    </row>
    <row r="16" spans="1:9" ht="15.95" customHeight="1" x14ac:dyDescent="0.15">
      <c r="A16" s="65">
        <v>14</v>
      </c>
      <c r="B16" s="64" t="s">
        <v>852</v>
      </c>
      <c r="C16" s="63" t="s">
        <v>1007</v>
      </c>
      <c r="D16" s="63" t="s">
        <v>935</v>
      </c>
      <c r="E16" s="63"/>
      <c r="F16" s="63">
        <v>1</v>
      </c>
      <c r="G16" s="63" t="s">
        <v>900</v>
      </c>
      <c r="H16" s="63">
        <v>0</v>
      </c>
      <c r="I16" s="19"/>
    </row>
    <row r="17" spans="1:9" ht="15.95" customHeight="1" x14ac:dyDescent="0.15">
      <c r="A17" s="65">
        <v>15</v>
      </c>
      <c r="B17" s="64" t="s">
        <v>882</v>
      </c>
      <c r="C17" s="63" t="s">
        <v>1009</v>
      </c>
      <c r="D17" s="63" t="s">
        <v>936</v>
      </c>
      <c r="E17" s="63"/>
      <c r="F17" s="63">
        <v>1</v>
      </c>
      <c r="G17" s="63" t="s">
        <v>900</v>
      </c>
      <c r="H17" s="63">
        <v>0.1</v>
      </c>
      <c r="I17" s="65"/>
    </row>
    <row r="18" spans="1:9" ht="15.95" customHeight="1" x14ac:dyDescent="0.15">
      <c r="A18" s="65">
        <v>16</v>
      </c>
      <c r="B18" s="64" t="s">
        <v>883</v>
      </c>
      <c r="C18" s="63" t="s">
        <v>1011</v>
      </c>
      <c r="D18" s="63" t="s">
        <v>940</v>
      </c>
      <c r="E18" s="63"/>
      <c r="F18" s="63">
        <v>1</v>
      </c>
      <c r="G18" s="63" t="s">
        <v>5</v>
      </c>
      <c r="H18" s="63">
        <v>0</v>
      </c>
      <c r="I18" s="65"/>
    </row>
    <row r="19" spans="1:9" ht="15.95" customHeight="1" x14ac:dyDescent="0.15">
      <c r="A19" s="65">
        <v>17</v>
      </c>
      <c r="B19" s="64" t="s">
        <v>884</v>
      </c>
      <c r="C19" s="63" t="s">
        <v>1013</v>
      </c>
      <c r="D19" s="63" t="s">
        <v>941</v>
      </c>
      <c r="E19" s="63"/>
      <c r="F19" s="63">
        <v>1</v>
      </c>
      <c r="G19" s="63" t="s">
        <v>900</v>
      </c>
      <c r="H19" s="63">
        <v>0.8</v>
      </c>
      <c r="I19" s="19"/>
    </row>
    <row r="20" spans="1:9" ht="15.95" customHeight="1" x14ac:dyDescent="0.15">
      <c r="A20" s="65">
        <v>18</v>
      </c>
      <c r="B20" s="64" t="s">
        <v>853</v>
      </c>
      <c r="C20" s="63" t="s">
        <v>1015</v>
      </c>
      <c r="D20" s="63" t="s">
        <v>946</v>
      </c>
      <c r="E20" s="63"/>
      <c r="F20" s="63">
        <v>1</v>
      </c>
      <c r="G20" s="63">
        <v>304</v>
      </c>
      <c r="H20" s="63"/>
      <c r="I20" s="65"/>
    </row>
    <row r="21" spans="1:9" ht="15.95" customHeight="1" x14ac:dyDescent="0.15">
      <c r="A21" s="65">
        <v>19</v>
      </c>
      <c r="B21" s="64" t="s">
        <v>854</v>
      </c>
      <c r="C21" s="63" t="s">
        <v>1017</v>
      </c>
      <c r="D21" s="63" t="s">
        <v>947</v>
      </c>
      <c r="E21" s="63"/>
      <c r="F21" s="63">
        <v>1</v>
      </c>
      <c r="G21" s="63">
        <v>304</v>
      </c>
      <c r="H21" s="63"/>
      <c r="I21" s="65"/>
    </row>
    <row r="22" spans="1:9" ht="15.95" customHeight="1" x14ac:dyDescent="0.15">
      <c r="A22" s="65">
        <v>20</v>
      </c>
      <c r="B22" s="64" t="s">
        <v>963</v>
      </c>
      <c r="C22" s="63" t="s">
        <v>1021</v>
      </c>
      <c r="D22" s="63" t="s">
        <v>964</v>
      </c>
      <c r="E22" s="63"/>
      <c r="F22" s="63">
        <v>1</v>
      </c>
      <c r="G22" s="63" t="s">
        <v>965</v>
      </c>
      <c r="H22" s="63">
        <v>0</v>
      </c>
      <c r="I22" s="19"/>
    </row>
    <row r="23" spans="1:9" ht="15.95" customHeight="1" x14ac:dyDescent="0.15">
      <c r="A23" s="65">
        <v>21</v>
      </c>
      <c r="B23" s="67" t="s">
        <v>996</v>
      </c>
      <c r="C23" s="65" t="s">
        <v>998</v>
      </c>
      <c r="D23" s="65" t="s">
        <v>999</v>
      </c>
      <c r="E23" s="65"/>
      <c r="F23" s="65">
        <v>1</v>
      </c>
      <c r="G23" s="65" t="s">
        <v>900</v>
      </c>
      <c r="H23" s="65">
        <v>0.3</v>
      </c>
      <c r="I23" s="65" t="s">
        <v>841</v>
      </c>
    </row>
    <row r="24" spans="1:9" ht="15.95" customHeight="1" x14ac:dyDescent="0.15">
      <c r="A24" s="65">
        <v>22</v>
      </c>
      <c r="B24" s="64" t="s">
        <v>888</v>
      </c>
      <c r="C24" s="63" t="s">
        <v>967</v>
      </c>
      <c r="D24" s="63" t="s">
        <v>966</v>
      </c>
      <c r="E24" s="63"/>
      <c r="F24" s="63"/>
      <c r="G24" s="63"/>
      <c r="H24" s="63"/>
      <c r="I24" s="65"/>
    </row>
    <row r="25" spans="1:9" ht="15.95" customHeight="1" x14ac:dyDescent="0.15">
      <c r="A25" s="65">
        <v>23</v>
      </c>
      <c r="B25" s="64" t="s">
        <v>848</v>
      </c>
      <c r="C25" s="63" t="s">
        <v>892</v>
      </c>
      <c r="D25" s="63" t="s">
        <v>893</v>
      </c>
      <c r="E25" s="63"/>
      <c r="F25" s="63">
        <v>1</v>
      </c>
      <c r="G25" s="63" t="s">
        <v>894</v>
      </c>
      <c r="H25" s="63" t="s">
        <v>895</v>
      </c>
      <c r="I25" s="65"/>
    </row>
    <row r="26" spans="1:9" ht="15.95" customHeight="1" x14ac:dyDescent="0.15">
      <c r="A26" s="65">
        <v>24</v>
      </c>
      <c r="B26" s="64" t="s">
        <v>849</v>
      </c>
      <c r="C26" s="63" t="s">
        <v>907</v>
      </c>
      <c r="D26" s="63" t="s">
        <v>908</v>
      </c>
      <c r="E26" s="63"/>
      <c r="F26" s="63">
        <v>1</v>
      </c>
      <c r="G26" s="63" t="s">
        <v>894</v>
      </c>
      <c r="H26" s="63" t="s">
        <v>895</v>
      </c>
      <c r="I26" s="19"/>
    </row>
    <row r="27" spans="1:9" ht="15.95" customHeight="1" x14ac:dyDescent="0.15">
      <c r="A27" s="65">
        <v>25</v>
      </c>
      <c r="B27" s="64" t="s">
        <v>875</v>
      </c>
      <c r="C27" s="63" t="s">
        <v>916</v>
      </c>
      <c r="D27" s="63" t="s">
        <v>917</v>
      </c>
      <c r="E27" s="63"/>
      <c r="F27" s="63">
        <v>1</v>
      </c>
      <c r="G27" s="63" t="s">
        <v>894</v>
      </c>
      <c r="H27" s="63" t="s">
        <v>895</v>
      </c>
      <c r="I27" s="65"/>
    </row>
    <row r="28" spans="1:9" ht="15.95" customHeight="1" x14ac:dyDescent="0.15">
      <c r="A28" s="65">
        <v>26</v>
      </c>
      <c r="B28" s="67" t="s">
        <v>876</v>
      </c>
      <c r="C28" s="65" t="s">
        <v>924</v>
      </c>
      <c r="D28" s="65" t="s">
        <v>925</v>
      </c>
      <c r="E28" s="65"/>
      <c r="F28" s="65">
        <v>1</v>
      </c>
      <c r="G28" s="65" t="s">
        <v>926</v>
      </c>
      <c r="H28" s="65" t="s">
        <v>895</v>
      </c>
      <c r="I28" s="65"/>
    </row>
    <row r="29" spans="1:9" ht="15.95" customHeight="1" x14ac:dyDescent="0.15">
      <c r="A29" s="65">
        <v>27</v>
      </c>
      <c r="B29" s="67" t="s">
        <v>877</v>
      </c>
      <c r="C29" s="65" t="s">
        <v>932</v>
      </c>
      <c r="D29" s="65" t="s">
        <v>933</v>
      </c>
      <c r="E29" s="65"/>
      <c r="F29" s="65">
        <v>1</v>
      </c>
      <c r="G29" s="65" t="s">
        <v>926</v>
      </c>
      <c r="H29" s="65" t="s">
        <v>895</v>
      </c>
      <c r="I29" s="65"/>
    </row>
    <row r="30" spans="1:9" ht="15.95" customHeight="1" x14ac:dyDescent="0.15">
      <c r="A30" s="65">
        <v>28</v>
      </c>
      <c r="B30" s="64" t="s">
        <v>851</v>
      </c>
      <c r="C30" s="63" t="s">
        <v>938</v>
      </c>
      <c r="D30" s="63" t="s">
        <v>939</v>
      </c>
      <c r="E30" s="63"/>
      <c r="F30" s="63">
        <v>1</v>
      </c>
      <c r="G30" s="63" t="s">
        <v>926</v>
      </c>
      <c r="H30" s="63" t="s">
        <v>895</v>
      </c>
      <c r="I30" s="65"/>
    </row>
    <row r="31" spans="1:9" ht="15.95" customHeight="1" x14ac:dyDescent="0.15">
      <c r="A31" s="65">
        <v>29</v>
      </c>
      <c r="B31" s="64" t="s">
        <v>878</v>
      </c>
      <c r="C31" s="63" t="s">
        <v>943</v>
      </c>
      <c r="D31" s="63" t="s">
        <v>944</v>
      </c>
      <c r="E31" s="63"/>
      <c r="F31" s="63">
        <v>1</v>
      </c>
      <c r="G31" s="63" t="s">
        <v>926</v>
      </c>
      <c r="H31" s="63" t="s">
        <v>895</v>
      </c>
      <c r="I31" s="65"/>
    </row>
    <row r="32" spans="1:9" ht="15.95" customHeight="1" x14ac:dyDescent="0.15">
      <c r="A32" s="65">
        <v>30</v>
      </c>
      <c r="B32" s="67" t="s">
        <v>961</v>
      </c>
      <c r="C32" s="65" t="s">
        <v>1018</v>
      </c>
      <c r="D32" s="65" t="s">
        <v>1019</v>
      </c>
      <c r="E32" s="65"/>
      <c r="F32" s="65">
        <v>1</v>
      </c>
      <c r="G32" s="65" t="s">
        <v>926</v>
      </c>
      <c r="H32" s="65" t="s">
        <v>895</v>
      </c>
      <c r="I32" s="65"/>
    </row>
    <row r="33" spans="2:9" ht="15.95" customHeight="1" x14ac:dyDescent="0.15">
      <c r="B33" s="64"/>
      <c r="C33" s="63"/>
      <c r="D33" s="63"/>
      <c r="E33" s="63"/>
      <c r="F33" s="63"/>
      <c r="G33" s="63"/>
      <c r="H33" s="63"/>
      <c r="I33" s="19"/>
    </row>
    <row r="34" spans="2:9" ht="15.95" customHeight="1" x14ac:dyDescent="0.15">
      <c r="B34" s="64"/>
      <c r="C34" s="63"/>
      <c r="D34" s="63"/>
      <c r="E34" s="63"/>
      <c r="F34" s="63"/>
      <c r="G34" s="63"/>
      <c r="H34" s="63"/>
      <c r="I34" s="19"/>
    </row>
    <row r="35" spans="2:9" ht="15.95" customHeight="1" x14ac:dyDescent="0.15">
      <c r="B35" s="67"/>
      <c r="C35" s="65"/>
      <c r="D35" s="65"/>
      <c r="E35" s="65"/>
      <c r="F35" s="65"/>
      <c r="G35" s="65"/>
      <c r="H35" s="65"/>
      <c r="I35" s="65"/>
    </row>
    <row r="36" spans="2:9" ht="15.95" customHeight="1" x14ac:dyDescent="0.15">
      <c r="B36" s="64"/>
      <c r="C36" s="63"/>
      <c r="D36" s="63"/>
      <c r="E36" s="63"/>
      <c r="F36" s="63"/>
      <c r="G36" s="63"/>
      <c r="H36" s="63"/>
      <c r="I36" s="19"/>
    </row>
    <row r="37" spans="2:9" ht="15.95" customHeight="1" x14ac:dyDescent="0.15">
      <c r="B37" s="64"/>
      <c r="C37" s="63"/>
      <c r="D37" s="63"/>
      <c r="E37" s="63"/>
      <c r="F37" s="63"/>
      <c r="G37" s="63"/>
      <c r="H37" s="63"/>
      <c r="I37" s="65"/>
    </row>
    <row r="38" spans="2:9" ht="15.95" customHeight="1" x14ac:dyDescent="0.15">
      <c r="B38" s="64"/>
      <c r="C38" s="63"/>
      <c r="D38" s="63"/>
      <c r="E38" s="63"/>
      <c r="F38" s="63"/>
      <c r="G38" s="63"/>
      <c r="H38" s="63"/>
      <c r="I38" s="65"/>
    </row>
    <row r="39" spans="2:9" ht="15.95" customHeight="1" x14ac:dyDescent="0.15">
      <c r="B39" s="64"/>
      <c r="C39" s="63"/>
      <c r="D39" s="63"/>
      <c r="E39" s="63"/>
      <c r="F39" s="63"/>
      <c r="G39" s="63"/>
      <c r="H39" s="63"/>
      <c r="I39" s="65"/>
    </row>
    <row r="40" spans="2:9" ht="15.95" customHeight="1" x14ac:dyDescent="0.15">
      <c r="B40" s="67"/>
      <c r="C40" s="65"/>
      <c r="D40" s="65"/>
      <c r="E40" s="65"/>
      <c r="F40" s="65"/>
      <c r="G40" s="65"/>
      <c r="H40" s="65"/>
      <c r="I40" s="65"/>
    </row>
    <row r="41" spans="2:9" ht="15.95" customHeight="1" x14ac:dyDescent="0.15">
      <c r="B41" s="64"/>
      <c r="C41" s="63"/>
      <c r="D41" s="63"/>
      <c r="E41" s="63"/>
      <c r="F41" s="63"/>
      <c r="G41" s="63"/>
      <c r="H41" s="63"/>
      <c r="I41" s="19"/>
    </row>
    <row r="42" spans="2:9" ht="15.95" customHeight="1" x14ac:dyDescent="0.15">
      <c r="B42" s="64"/>
      <c r="C42" s="63"/>
      <c r="D42" s="63"/>
      <c r="E42" s="63"/>
      <c r="F42" s="63"/>
      <c r="G42" s="63"/>
      <c r="H42" s="63"/>
      <c r="I42" s="65"/>
    </row>
    <row r="43" spans="2:9" ht="15.95" customHeight="1" x14ac:dyDescent="0.15">
      <c r="B43" s="64"/>
      <c r="C43" s="63"/>
      <c r="D43" s="63"/>
      <c r="E43" s="63"/>
      <c r="F43" s="63"/>
      <c r="G43" s="63"/>
      <c r="H43" s="63"/>
      <c r="I43" s="19"/>
    </row>
    <row r="44" spans="2:9" ht="15.95" customHeight="1" x14ac:dyDescent="0.15">
      <c r="B44" s="67"/>
      <c r="C44" s="65"/>
      <c r="D44" s="65"/>
      <c r="E44" s="65"/>
      <c r="F44" s="65"/>
      <c r="G44" s="65"/>
      <c r="H44" s="65"/>
      <c r="I44" s="65"/>
    </row>
    <row r="45" spans="2:9" ht="15.95" customHeight="1" x14ac:dyDescent="0.15">
      <c r="B45" s="64"/>
      <c r="C45" s="63"/>
      <c r="D45" s="63"/>
      <c r="E45" s="63"/>
      <c r="F45" s="63"/>
      <c r="G45" s="63"/>
      <c r="H45" s="63"/>
      <c r="I45" s="19"/>
    </row>
    <row r="46" spans="2:9" ht="15.95" customHeight="1" x14ac:dyDescent="0.15">
      <c r="B46" s="64"/>
      <c r="C46" s="63"/>
      <c r="D46" s="63"/>
      <c r="E46" s="63"/>
      <c r="F46" s="63"/>
      <c r="G46" s="63"/>
      <c r="H46" s="63"/>
      <c r="I46" s="65"/>
    </row>
    <row r="47" spans="2:9" ht="15.95" customHeight="1" x14ac:dyDescent="0.15">
      <c r="B47" s="64"/>
      <c r="C47" s="63"/>
      <c r="D47" s="63"/>
      <c r="E47" s="63"/>
      <c r="F47" s="63"/>
      <c r="G47" s="63"/>
      <c r="H47" s="63"/>
      <c r="I47" s="19"/>
    </row>
    <row r="48" spans="2:9" ht="15.95" customHeight="1" x14ac:dyDescent="0.15">
      <c r="B48" s="64"/>
      <c r="C48" s="63"/>
      <c r="D48" s="63"/>
      <c r="E48" s="63"/>
      <c r="F48" s="63"/>
      <c r="G48" s="63"/>
      <c r="H48" s="63"/>
      <c r="I48" s="65"/>
    </row>
    <row r="49" spans="2:9" ht="15.95" customHeight="1" x14ac:dyDescent="0.15">
      <c r="B49" s="67"/>
      <c r="C49" s="65"/>
      <c r="D49" s="65"/>
      <c r="E49" s="65"/>
      <c r="F49" s="65"/>
      <c r="G49" s="65"/>
      <c r="H49" s="65"/>
      <c r="I49" s="65"/>
    </row>
    <row r="50" spans="2:9" ht="15.95" customHeight="1" x14ac:dyDescent="0.15">
      <c r="B50" s="64"/>
      <c r="C50" s="63"/>
      <c r="D50" s="63"/>
      <c r="E50" s="63"/>
      <c r="F50" s="63"/>
      <c r="G50" s="63"/>
      <c r="H50" s="63"/>
      <c r="I50" s="19"/>
    </row>
    <row r="51" spans="2:9" ht="15.95" customHeight="1" x14ac:dyDescent="0.15">
      <c r="B51" s="64"/>
      <c r="C51" s="63"/>
      <c r="D51" s="63"/>
      <c r="E51" s="63"/>
      <c r="F51" s="63"/>
      <c r="G51" s="63"/>
      <c r="H51" s="63"/>
      <c r="I51" s="19"/>
    </row>
    <row r="52" spans="2:9" ht="15.95" customHeight="1" x14ac:dyDescent="0.15">
      <c r="B52" s="67"/>
      <c r="C52" s="65"/>
      <c r="D52" s="65"/>
      <c r="E52" s="65"/>
      <c r="F52" s="65"/>
      <c r="G52" s="65"/>
      <c r="H52" s="65"/>
      <c r="I52" s="65"/>
    </row>
    <row r="53" spans="2:9" ht="15.95" customHeight="1" x14ac:dyDescent="0.15">
      <c r="B53" s="64"/>
      <c r="C53" s="63"/>
      <c r="D53" s="63"/>
      <c r="E53" s="63"/>
      <c r="F53" s="63"/>
      <c r="G53" s="63"/>
      <c r="H53" s="63"/>
      <c r="I53" s="65"/>
    </row>
    <row r="54" spans="2:9" ht="15.95" customHeight="1" x14ac:dyDescent="0.15">
      <c r="B54" s="67"/>
      <c r="C54" s="65"/>
      <c r="D54" s="65"/>
      <c r="E54" s="65"/>
      <c r="F54" s="65"/>
      <c r="G54" s="65"/>
      <c r="H54" s="65"/>
      <c r="I54" s="65"/>
    </row>
    <row r="55" spans="2:9" ht="15.95" customHeight="1" x14ac:dyDescent="0.15">
      <c r="B55" s="64"/>
      <c r="C55" s="63"/>
      <c r="D55" s="63"/>
      <c r="E55" s="63"/>
      <c r="F55" s="63"/>
      <c r="G55" s="63"/>
      <c r="H55" s="63"/>
      <c r="I55" s="65"/>
    </row>
    <row r="56" spans="2:9" ht="15.95" customHeight="1" x14ac:dyDescent="0.15">
      <c r="B56" s="64"/>
      <c r="C56" s="63"/>
      <c r="D56" s="63"/>
      <c r="E56" s="63"/>
      <c r="F56" s="63"/>
      <c r="G56" s="63"/>
      <c r="H56" s="63"/>
      <c r="I56" s="65"/>
    </row>
    <row r="57" spans="2:9" ht="15.95" customHeight="1" x14ac:dyDescent="0.15">
      <c r="B57" s="64"/>
      <c r="C57" s="63"/>
      <c r="D57" s="63"/>
      <c r="E57" s="63"/>
      <c r="F57" s="63"/>
      <c r="G57" s="63"/>
      <c r="H57" s="63"/>
      <c r="I57" s="19"/>
    </row>
    <row r="58" spans="2:9" ht="15.95" customHeight="1" x14ac:dyDescent="0.15">
      <c r="B58" s="64"/>
      <c r="C58" s="63"/>
      <c r="D58" s="63"/>
      <c r="E58" s="63"/>
      <c r="F58" s="63"/>
      <c r="G58" s="63"/>
      <c r="H58" s="63"/>
      <c r="I58" s="65"/>
    </row>
    <row r="59" spans="2:9" ht="15.95" customHeight="1" x14ac:dyDescent="0.15">
      <c r="B59" s="64"/>
      <c r="C59" s="63"/>
      <c r="D59" s="63"/>
      <c r="E59" s="63"/>
      <c r="F59" s="63"/>
      <c r="G59" s="63"/>
      <c r="H59" s="63"/>
      <c r="I59" s="65"/>
    </row>
    <row r="60" spans="2:9" ht="15.95" customHeight="1" x14ac:dyDescent="0.15">
      <c r="B60" s="64"/>
      <c r="C60" s="63"/>
      <c r="D60" s="63"/>
      <c r="E60" s="63"/>
      <c r="F60" s="63"/>
      <c r="G60" s="63"/>
      <c r="H60" s="63"/>
      <c r="I60" s="19"/>
    </row>
    <row r="61" spans="2:9" ht="15.95" customHeight="1" x14ac:dyDescent="0.15">
      <c r="B61" s="64"/>
      <c r="C61" s="63"/>
      <c r="D61" s="63"/>
      <c r="E61" s="63"/>
      <c r="F61" s="63"/>
      <c r="G61" s="63"/>
      <c r="H61" s="63"/>
      <c r="I61" s="19"/>
    </row>
    <row r="62" spans="2:9" ht="15.95" customHeight="1" x14ac:dyDescent="0.15">
      <c r="B62" s="67"/>
      <c r="C62" s="65"/>
      <c r="D62" s="65"/>
      <c r="E62" s="65"/>
      <c r="F62" s="65"/>
      <c r="G62" s="65"/>
      <c r="H62" s="65"/>
      <c r="I62" s="65"/>
    </row>
    <row r="63" spans="2:9" ht="15.95" customHeight="1" x14ac:dyDescent="0.15">
      <c r="B63" s="64"/>
      <c r="C63" s="63"/>
      <c r="D63" s="63"/>
      <c r="E63" s="63"/>
      <c r="F63" s="63"/>
      <c r="G63" s="63"/>
      <c r="H63" s="63"/>
      <c r="I63" s="19"/>
    </row>
    <row r="64" spans="2:9" ht="15.95" customHeight="1" x14ac:dyDescent="0.15">
      <c r="B64" s="64"/>
      <c r="C64" s="63"/>
      <c r="D64" s="63"/>
      <c r="E64" s="63"/>
      <c r="F64" s="63"/>
      <c r="G64" s="63"/>
      <c r="H64" s="63"/>
      <c r="I64" s="19"/>
    </row>
    <row r="65" spans="2:9" ht="15.95" customHeight="1" x14ac:dyDescent="0.15">
      <c r="B65" s="64"/>
      <c r="C65" s="63"/>
      <c r="D65" s="63"/>
      <c r="E65" s="63"/>
      <c r="F65" s="63"/>
      <c r="G65" s="63"/>
      <c r="H65" s="63"/>
      <c r="I65" s="19"/>
    </row>
    <row r="66" spans="2:9" ht="15.95" customHeight="1" x14ac:dyDescent="0.15">
      <c r="B66" s="67"/>
      <c r="C66" s="65"/>
      <c r="D66" s="65"/>
      <c r="E66" s="65"/>
      <c r="F66" s="65"/>
      <c r="G66" s="65"/>
      <c r="H66" s="65"/>
      <c r="I66" s="65"/>
    </row>
    <row r="67" spans="2:9" ht="15.95" customHeight="1" x14ac:dyDescent="0.15">
      <c r="B67" s="64"/>
      <c r="C67" s="63"/>
      <c r="D67" s="63"/>
      <c r="E67" s="63"/>
      <c r="F67" s="63"/>
      <c r="G67" s="63"/>
      <c r="H67" s="63"/>
      <c r="I67" s="65"/>
    </row>
    <row r="68" spans="2:9" ht="15.95" customHeight="1" x14ac:dyDescent="0.15">
      <c r="B68" s="64"/>
      <c r="C68" s="63"/>
      <c r="D68" s="63"/>
      <c r="E68" s="63"/>
      <c r="F68" s="63"/>
      <c r="G68" s="63"/>
      <c r="H68" s="63"/>
      <c r="I68" s="65"/>
    </row>
    <row r="69" spans="2:9" ht="15.95" customHeight="1" x14ac:dyDescent="0.15">
      <c r="B69" s="67"/>
      <c r="C69" s="65"/>
      <c r="D69" s="65"/>
      <c r="E69" s="65"/>
      <c r="F69" s="65"/>
      <c r="G69" s="65"/>
      <c r="H69" s="65"/>
      <c r="I69" s="65"/>
    </row>
    <row r="70" spans="2:9" ht="15.95" customHeight="1" x14ac:dyDescent="0.15">
      <c r="B70" s="64"/>
      <c r="C70" s="63"/>
      <c r="D70" s="63"/>
      <c r="E70" s="63"/>
      <c r="F70" s="63"/>
      <c r="G70" s="63"/>
      <c r="H70" s="63"/>
      <c r="I70" s="65"/>
    </row>
    <row r="71" spans="2:9" ht="15.95" customHeight="1" x14ac:dyDescent="0.15">
      <c r="B71" s="64"/>
      <c r="C71" s="63"/>
      <c r="D71" s="63"/>
      <c r="E71" s="63"/>
      <c r="F71" s="63"/>
      <c r="G71" s="63"/>
      <c r="H71" s="63"/>
      <c r="I71" s="19"/>
    </row>
    <row r="72" spans="2:9" ht="15.95" customHeight="1" x14ac:dyDescent="0.15">
      <c r="B72" s="67"/>
      <c r="C72" s="65"/>
      <c r="D72" s="65"/>
      <c r="E72" s="65"/>
      <c r="F72" s="65"/>
      <c r="G72" s="65"/>
      <c r="H72" s="65"/>
      <c r="I72" s="65"/>
    </row>
    <row r="73" spans="2:9" ht="15.95" customHeight="1" x14ac:dyDescent="0.15">
      <c r="B73" s="67"/>
      <c r="C73" s="65"/>
      <c r="D73" s="65"/>
      <c r="E73" s="65"/>
      <c r="F73" s="65"/>
      <c r="G73" s="65"/>
      <c r="H73" s="65"/>
      <c r="I73" s="65"/>
    </row>
    <row r="74" spans="2:9" ht="15.95" customHeight="1" x14ac:dyDescent="0.15">
      <c r="B74" s="67"/>
      <c r="C74" s="65"/>
      <c r="D74" s="65"/>
      <c r="E74" s="65"/>
      <c r="F74" s="65"/>
      <c r="G74" s="65"/>
      <c r="H74" s="65"/>
      <c r="I74" s="65"/>
    </row>
    <row r="75" spans="2:9" ht="15.95" customHeight="1" x14ac:dyDescent="0.15">
      <c r="B75" s="67"/>
      <c r="C75" s="65"/>
      <c r="D75" s="65"/>
      <c r="E75" s="65"/>
      <c r="F75" s="65"/>
      <c r="G75" s="65"/>
      <c r="H75" s="65"/>
      <c r="I75" s="65"/>
    </row>
    <row r="76" spans="2:9" ht="15.95" customHeight="1" x14ac:dyDescent="0.15">
      <c r="B76" s="67"/>
      <c r="C76" s="65"/>
      <c r="D76" s="65"/>
      <c r="E76" s="65"/>
      <c r="F76" s="65"/>
      <c r="G76" s="65"/>
      <c r="H76" s="65"/>
      <c r="I76" s="65"/>
    </row>
    <row r="77" spans="2:9" ht="15.95" customHeight="1" x14ac:dyDescent="0.15">
      <c r="B77" s="67"/>
      <c r="C77" s="65"/>
      <c r="D77" s="65"/>
      <c r="E77" s="65"/>
      <c r="F77" s="65"/>
      <c r="G77" s="65"/>
      <c r="H77" s="65"/>
      <c r="I77" s="65"/>
    </row>
    <row r="78" spans="2:9" ht="15.95" customHeight="1" x14ac:dyDescent="0.15">
      <c r="B78" s="67"/>
      <c r="C78" s="65"/>
      <c r="D78" s="65"/>
      <c r="E78" s="65"/>
      <c r="F78" s="65"/>
      <c r="G78" s="65"/>
      <c r="H78" s="65"/>
      <c r="I78" s="65"/>
    </row>
    <row r="79" spans="2:9" ht="15.95" customHeight="1" x14ac:dyDescent="0.15">
      <c r="B79" s="67"/>
      <c r="C79" s="65"/>
      <c r="D79" s="65"/>
      <c r="E79" s="65"/>
      <c r="F79" s="65"/>
      <c r="G79" s="65"/>
      <c r="H79" s="65"/>
      <c r="I79" s="65"/>
    </row>
    <row r="80" spans="2:9" ht="15.95" customHeight="1" x14ac:dyDescent="0.15">
      <c r="B80" s="67"/>
      <c r="C80" s="65"/>
      <c r="D80" s="65"/>
      <c r="E80" s="65"/>
      <c r="F80" s="65"/>
      <c r="G80" s="65"/>
      <c r="H80" s="65"/>
      <c r="I80" s="65"/>
    </row>
    <row r="81" spans="2:9" ht="15.95" customHeight="1" x14ac:dyDescent="0.15">
      <c r="B81" s="64"/>
      <c r="C81" s="63"/>
      <c r="D81" s="63"/>
      <c r="E81" s="63"/>
      <c r="F81" s="63"/>
      <c r="G81" s="63"/>
      <c r="H81" s="63"/>
      <c r="I81" s="19"/>
    </row>
    <row r="82" spans="2:9" ht="15.95" customHeight="1" x14ac:dyDescent="0.15">
      <c r="B82" s="67"/>
      <c r="C82" s="65"/>
      <c r="D82" s="65"/>
      <c r="E82" s="65"/>
      <c r="F82" s="65"/>
      <c r="G82" s="65"/>
      <c r="H82" s="65"/>
      <c r="I82" s="65"/>
    </row>
    <row r="83" spans="2:9" ht="15.95" customHeight="1" x14ac:dyDescent="0.15">
      <c r="B83" s="67"/>
      <c r="C83" s="65"/>
      <c r="D83" s="65"/>
      <c r="E83" s="65"/>
      <c r="F83" s="65"/>
      <c r="G83" s="65"/>
      <c r="H83" s="65"/>
      <c r="I83" s="65"/>
    </row>
    <row r="84" spans="2:9" ht="15.95" customHeight="1" x14ac:dyDescent="0.15">
      <c r="B84" s="67"/>
      <c r="C84" s="65"/>
      <c r="D84" s="65"/>
      <c r="E84" s="65"/>
      <c r="F84" s="65"/>
      <c r="G84" s="65"/>
      <c r="H84" s="65"/>
      <c r="I84" s="65"/>
    </row>
    <row r="85" spans="2:9" ht="15.95" customHeight="1" x14ac:dyDescent="0.15">
      <c r="B85" s="67"/>
      <c r="C85" s="65"/>
      <c r="D85" s="65"/>
      <c r="E85" s="65"/>
      <c r="F85" s="65"/>
      <c r="G85" s="65"/>
      <c r="H85" s="65"/>
      <c r="I85" s="65"/>
    </row>
    <row r="86" spans="2:9" ht="15.95" customHeight="1" x14ac:dyDescent="0.15">
      <c r="B86" s="67"/>
      <c r="C86" s="65"/>
      <c r="D86" s="65"/>
      <c r="E86" s="65"/>
      <c r="F86" s="65"/>
      <c r="G86" s="65"/>
      <c r="H86" s="65"/>
      <c r="I86" s="65"/>
    </row>
    <row r="87" spans="2:9" ht="15.95" customHeight="1" x14ac:dyDescent="0.15">
      <c r="B87" s="67"/>
      <c r="C87" s="65"/>
      <c r="D87" s="65"/>
      <c r="E87" s="65"/>
      <c r="F87" s="65"/>
      <c r="G87" s="65"/>
      <c r="H87" s="65"/>
      <c r="I87" s="65"/>
    </row>
    <row r="88" spans="2:9" ht="15.95" customHeight="1" x14ac:dyDescent="0.15">
      <c r="B88" s="67"/>
      <c r="C88" s="65"/>
      <c r="D88" s="65"/>
      <c r="E88" s="65"/>
      <c r="F88" s="65"/>
      <c r="G88" s="65"/>
      <c r="H88" s="65"/>
      <c r="I88" s="65"/>
    </row>
    <row r="89" spans="2:9" ht="15.95" customHeight="1" x14ac:dyDescent="0.15">
      <c r="B89" s="67"/>
      <c r="C89" s="65"/>
      <c r="D89" s="65"/>
      <c r="E89" s="65"/>
      <c r="F89" s="65"/>
      <c r="G89" s="65"/>
      <c r="H89" s="65"/>
      <c r="I89" s="65"/>
    </row>
    <row r="90" spans="2:9" ht="15.95" customHeight="1" x14ac:dyDescent="0.15">
      <c r="B90" s="67"/>
      <c r="C90" s="65"/>
      <c r="D90" s="65"/>
      <c r="E90" s="65"/>
      <c r="F90" s="65"/>
      <c r="G90" s="65"/>
      <c r="H90" s="65"/>
      <c r="I90" s="65"/>
    </row>
    <row r="91" spans="2:9" ht="15.95" customHeight="1" x14ac:dyDescent="0.15">
      <c r="B91" s="67"/>
      <c r="C91" s="65"/>
      <c r="D91" s="65"/>
      <c r="E91" s="65"/>
      <c r="F91" s="65"/>
      <c r="G91" s="65"/>
      <c r="H91" s="65"/>
      <c r="I91" s="65"/>
    </row>
    <row r="92" spans="2:9" ht="15.95" customHeight="1" x14ac:dyDescent="0.15">
      <c r="B92" s="67"/>
      <c r="C92" s="65"/>
      <c r="D92" s="65"/>
      <c r="E92" s="65"/>
      <c r="F92" s="65"/>
      <c r="G92" s="65"/>
      <c r="H92" s="65"/>
      <c r="I92" s="65"/>
    </row>
    <row r="93" spans="2:9" ht="15.95" customHeight="1" x14ac:dyDescent="0.15">
      <c r="B93" s="67"/>
      <c r="C93" s="65"/>
      <c r="D93" s="65"/>
      <c r="E93" s="65"/>
      <c r="F93" s="65"/>
      <c r="G93" s="65"/>
      <c r="H93" s="65"/>
      <c r="I93" s="65"/>
    </row>
    <row r="94" spans="2:9" ht="15.95" customHeight="1" x14ac:dyDescent="0.15">
      <c r="B94" s="67"/>
      <c r="C94" s="65"/>
      <c r="D94" s="65"/>
      <c r="E94" s="65"/>
      <c r="F94" s="65"/>
      <c r="G94" s="65"/>
      <c r="H94" s="65"/>
      <c r="I94" s="65"/>
    </row>
    <row r="95" spans="2:9" ht="15.95" customHeight="1" x14ac:dyDescent="0.15">
      <c r="B95" s="67"/>
      <c r="C95" s="65"/>
      <c r="D95" s="65"/>
      <c r="E95" s="65"/>
      <c r="F95" s="65"/>
      <c r="G95" s="65"/>
      <c r="H95" s="65"/>
      <c r="I95" s="65"/>
    </row>
    <row r="96" spans="2:9" ht="15.95" customHeight="1" x14ac:dyDescent="0.15">
      <c r="B96" s="67"/>
      <c r="C96" s="65"/>
      <c r="D96" s="65"/>
      <c r="E96" s="65"/>
      <c r="F96" s="65"/>
      <c r="G96" s="65"/>
      <c r="H96" s="65"/>
      <c r="I96" s="65"/>
    </row>
    <row r="97" spans="2:9" ht="15.95" customHeight="1" x14ac:dyDescent="0.15">
      <c r="B97" s="67"/>
      <c r="C97" s="65"/>
      <c r="D97" s="65"/>
      <c r="E97" s="65"/>
      <c r="F97" s="65"/>
      <c r="G97" s="65"/>
      <c r="H97" s="65"/>
      <c r="I97" s="65"/>
    </row>
    <row r="98" spans="2:9" ht="15.95" customHeight="1" x14ac:dyDescent="0.15">
      <c r="B98" s="67"/>
      <c r="C98" s="65"/>
      <c r="D98" s="65"/>
      <c r="E98" s="65"/>
      <c r="F98" s="65"/>
      <c r="G98" s="65"/>
      <c r="H98" s="65"/>
      <c r="I98" s="65"/>
    </row>
    <row r="99" spans="2:9" ht="15.95" customHeight="1" x14ac:dyDescent="0.15">
      <c r="B99" s="67"/>
      <c r="C99" s="65"/>
      <c r="D99" s="65"/>
      <c r="E99" s="65"/>
      <c r="F99" s="65"/>
      <c r="G99" s="65"/>
      <c r="H99" s="65"/>
      <c r="I99" s="65"/>
    </row>
    <row r="100" spans="2:9" ht="15.95" customHeight="1" x14ac:dyDescent="0.15">
      <c r="B100" s="67"/>
      <c r="C100" s="65"/>
      <c r="D100" s="65"/>
      <c r="E100" s="65"/>
      <c r="F100" s="65"/>
      <c r="G100" s="65"/>
      <c r="H100" s="65"/>
      <c r="I100" s="65"/>
    </row>
    <row r="101" spans="2:9" ht="15.95" customHeight="1" x14ac:dyDescent="0.15">
      <c r="B101" s="67"/>
      <c r="C101" s="65"/>
      <c r="D101" s="65"/>
      <c r="E101" s="65"/>
      <c r="F101" s="65"/>
      <c r="G101" s="65"/>
      <c r="H101" s="65"/>
      <c r="I101" s="65"/>
    </row>
    <row r="102" spans="2:9" ht="15.95" customHeight="1" x14ac:dyDescent="0.15">
      <c r="B102" s="67"/>
      <c r="C102" s="65"/>
      <c r="D102" s="65"/>
      <c r="E102" s="65"/>
      <c r="F102" s="65"/>
      <c r="G102" s="65"/>
      <c r="H102" s="65"/>
      <c r="I102" s="65"/>
    </row>
    <row r="103" spans="2:9" ht="15.95" customHeight="1" x14ac:dyDescent="0.15">
      <c r="B103" s="67"/>
      <c r="C103" s="65"/>
      <c r="D103" s="65"/>
      <c r="E103" s="65"/>
      <c r="F103" s="65"/>
      <c r="G103" s="65"/>
      <c r="H103" s="65"/>
      <c r="I103" s="65"/>
    </row>
    <row r="104" spans="2:9" ht="15.95" customHeight="1" x14ac:dyDescent="0.15">
      <c r="B104" s="56"/>
      <c r="C104" s="55"/>
      <c r="D104" s="55"/>
      <c r="E104" s="55"/>
      <c r="F104" s="55"/>
      <c r="G104" s="55"/>
      <c r="H104" s="55"/>
      <c r="I104" s="55"/>
    </row>
    <row r="105" spans="2:9" ht="15.95" customHeight="1" x14ac:dyDescent="0.15">
      <c r="B105" s="56"/>
      <c r="C105" s="55"/>
      <c r="D105" s="55"/>
      <c r="E105" s="55"/>
      <c r="F105" s="55"/>
      <c r="G105" s="55"/>
      <c r="H105" s="55"/>
      <c r="I105" s="55"/>
    </row>
    <row r="106" spans="2:9" ht="15.95" customHeight="1" x14ac:dyDescent="0.15">
      <c r="B106" s="56"/>
      <c r="C106" s="55"/>
      <c r="D106" s="55"/>
      <c r="E106" s="55"/>
      <c r="F106" s="55"/>
      <c r="G106" s="55"/>
      <c r="H106" s="55"/>
      <c r="I106" s="55"/>
    </row>
    <row r="107" spans="2:9" ht="15.95" customHeight="1" x14ac:dyDescent="0.15">
      <c r="B107" s="56"/>
      <c r="C107" s="55"/>
      <c r="D107" s="55"/>
      <c r="E107" s="55"/>
      <c r="F107" s="55"/>
      <c r="G107" s="55"/>
      <c r="H107" s="55"/>
      <c r="I107" s="55"/>
    </row>
    <row r="108" spans="2:9" ht="15.95" customHeight="1" x14ac:dyDescent="0.15">
      <c r="B108" s="56"/>
      <c r="C108" s="55"/>
      <c r="D108" s="55"/>
      <c r="E108" s="55"/>
      <c r="F108" s="55"/>
      <c r="G108" s="55"/>
      <c r="H108" s="55"/>
      <c r="I108" s="55"/>
    </row>
    <row r="109" spans="2:9" ht="15.95" customHeight="1" x14ac:dyDescent="0.15">
      <c r="B109" s="56"/>
      <c r="C109" s="55"/>
      <c r="D109" s="55"/>
      <c r="E109" s="55"/>
      <c r="F109" s="55"/>
      <c r="G109" s="55"/>
      <c r="H109" s="55"/>
      <c r="I109" s="55"/>
    </row>
    <row r="110" spans="2:9" ht="15.95" customHeight="1" x14ac:dyDescent="0.15">
      <c r="B110" s="56"/>
      <c r="C110" s="55"/>
      <c r="D110" s="55"/>
      <c r="E110" s="55"/>
      <c r="F110" s="55"/>
      <c r="G110" s="55"/>
      <c r="H110" s="55"/>
      <c r="I110" s="55"/>
    </row>
    <row r="111" spans="2:9" ht="15.95" customHeight="1" x14ac:dyDescent="0.15">
      <c r="B111" s="56"/>
      <c r="C111" s="55"/>
      <c r="D111" s="55"/>
      <c r="E111" s="55"/>
      <c r="F111" s="55"/>
      <c r="G111" s="55"/>
      <c r="H111" s="55"/>
      <c r="I111" s="55"/>
    </row>
    <row r="112" spans="2:9" ht="15.95" customHeight="1" x14ac:dyDescent="0.15">
      <c r="B112" s="56"/>
      <c r="C112" s="55"/>
      <c r="D112" s="55"/>
      <c r="E112" s="55"/>
      <c r="F112" s="55"/>
      <c r="G112" s="55"/>
      <c r="H112" s="55"/>
      <c r="I112" s="55"/>
    </row>
    <row r="113" spans="2:9" ht="15.95" customHeight="1" x14ac:dyDescent="0.15">
      <c r="B113" s="56"/>
      <c r="C113" s="55"/>
      <c r="D113" s="55"/>
      <c r="E113" s="55"/>
      <c r="F113" s="55"/>
      <c r="G113" s="55"/>
      <c r="H113" s="55"/>
      <c r="I113" s="55"/>
    </row>
    <row r="114" spans="2:9" ht="15.95" customHeight="1" x14ac:dyDescent="0.15">
      <c r="B114" s="56"/>
      <c r="C114" s="55"/>
      <c r="D114" s="55"/>
      <c r="E114" s="55"/>
      <c r="F114" s="55"/>
      <c r="G114" s="55"/>
      <c r="H114" s="55"/>
      <c r="I114" s="55"/>
    </row>
    <row r="115" spans="2:9" ht="15.95" customHeight="1" x14ac:dyDescent="0.15">
      <c r="B115" s="56"/>
      <c r="C115" s="55"/>
      <c r="D115" s="55"/>
      <c r="E115" s="55"/>
      <c r="F115" s="55"/>
      <c r="G115" s="55"/>
      <c r="H115" s="55"/>
      <c r="I115" s="55"/>
    </row>
    <row r="116" spans="2:9" ht="15.95" customHeight="1" x14ac:dyDescent="0.15">
      <c r="B116" s="56"/>
      <c r="C116" s="55"/>
      <c r="D116" s="55"/>
      <c r="E116" s="55"/>
      <c r="F116" s="55"/>
      <c r="G116" s="55"/>
      <c r="H116" s="55"/>
      <c r="I116" s="55"/>
    </row>
    <row r="117" spans="2:9" ht="15.95" customHeight="1" x14ac:dyDescent="0.15">
      <c r="B117" s="56"/>
      <c r="C117" s="55"/>
      <c r="D117" s="55"/>
      <c r="E117" s="55"/>
      <c r="F117" s="55"/>
      <c r="G117" s="55"/>
      <c r="H117" s="55"/>
      <c r="I117" s="55"/>
    </row>
    <row r="118" spans="2:9" ht="15.95" customHeight="1" x14ac:dyDescent="0.15">
      <c r="B118" s="56"/>
      <c r="C118" s="55"/>
      <c r="D118" s="55"/>
      <c r="E118" s="55"/>
      <c r="F118" s="55"/>
      <c r="G118" s="55"/>
      <c r="H118" s="55"/>
      <c r="I118" s="55"/>
    </row>
    <row r="119" spans="2:9" ht="15.95" customHeight="1" x14ac:dyDescent="0.15">
      <c r="B119" s="56"/>
      <c r="C119" s="55"/>
      <c r="D119" s="55"/>
      <c r="E119" s="55"/>
      <c r="F119" s="55"/>
      <c r="G119" s="55"/>
      <c r="H119" s="55"/>
      <c r="I119" s="55"/>
    </row>
    <row r="120" spans="2:9" ht="15.95" customHeight="1" x14ac:dyDescent="0.15">
      <c r="B120" s="56"/>
      <c r="C120" s="55"/>
      <c r="D120" s="55"/>
      <c r="E120" s="55"/>
      <c r="F120" s="55"/>
      <c r="G120" s="55"/>
      <c r="H120" s="55"/>
      <c r="I120" s="55"/>
    </row>
    <row r="121" spans="2:9" ht="15.95" customHeight="1" x14ac:dyDescent="0.15">
      <c r="B121" s="56"/>
      <c r="C121" s="55"/>
      <c r="D121" s="55"/>
      <c r="E121" s="55"/>
      <c r="F121" s="55"/>
      <c r="G121" s="55"/>
      <c r="H121" s="55"/>
      <c r="I121" s="55"/>
    </row>
    <row r="122" spans="2:9" ht="15.95" customHeight="1" x14ac:dyDescent="0.15">
      <c r="B122" s="56"/>
      <c r="C122" s="55"/>
      <c r="D122" s="55"/>
      <c r="E122" s="55"/>
      <c r="F122" s="55"/>
      <c r="G122" s="55"/>
      <c r="H122" s="55"/>
      <c r="I122" s="55"/>
    </row>
    <row r="123" spans="2:9" ht="15.95" customHeight="1" x14ac:dyDescent="0.15">
      <c r="B123" s="56"/>
      <c r="C123" s="55"/>
      <c r="D123" s="55"/>
      <c r="E123" s="55"/>
      <c r="F123" s="55"/>
      <c r="G123" s="55"/>
      <c r="H123" s="55"/>
      <c r="I123" s="55"/>
    </row>
    <row r="124" spans="2:9" ht="15.95" customHeight="1" x14ac:dyDescent="0.15">
      <c r="B124" s="56"/>
      <c r="C124" s="55"/>
      <c r="D124" s="55"/>
      <c r="E124" s="55"/>
      <c r="F124" s="55"/>
      <c r="G124" s="55"/>
      <c r="H124" s="55"/>
      <c r="I124" s="55"/>
    </row>
    <row r="125" spans="2:9" ht="15.95" customHeight="1" x14ac:dyDescent="0.15">
      <c r="B125" s="56"/>
      <c r="C125" s="55"/>
      <c r="D125" s="55"/>
      <c r="E125" s="55"/>
      <c r="F125" s="55"/>
      <c r="G125" s="55"/>
      <c r="H125" s="55"/>
      <c r="I125" s="55"/>
    </row>
    <row r="126" spans="2:9" ht="15.95" customHeight="1" x14ac:dyDescent="0.15">
      <c r="B126" s="56"/>
      <c r="C126" s="55"/>
      <c r="D126" s="55"/>
      <c r="E126" s="55"/>
      <c r="F126" s="55"/>
      <c r="G126" s="55"/>
      <c r="H126" s="55"/>
      <c r="I126" s="55"/>
    </row>
    <row r="127" spans="2:9" ht="15.95" customHeight="1" x14ac:dyDescent="0.15">
      <c r="B127" s="56"/>
      <c r="C127" s="55"/>
      <c r="D127" s="55"/>
      <c r="E127" s="55"/>
      <c r="F127" s="55"/>
      <c r="G127" s="55"/>
      <c r="H127" s="55"/>
      <c r="I127" s="55"/>
    </row>
    <row r="128" spans="2:9" ht="15.95" customHeight="1" x14ac:dyDescent="0.15">
      <c r="B128" s="56"/>
      <c r="C128" s="55"/>
      <c r="D128" s="55"/>
      <c r="E128" s="55"/>
      <c r="F128" s="55"/>
      <c r="G128" s="55"/>
      <c r="H128" s="55"/>
      <c r="I128" s="55"/>
    </row>
    <row r="129" spans="2:9" ht="15.95" customHeight="1" x14ac:dyDescent="0.15">
      <c r="B129" s="56"/>
      <c r="C129" s="55"/>
      <c r="D129" s="55"/>
      <c r="E129" s="55"/>
      <c r="F129" s="55"/>
      <c r="G129" s="55"/>
      <c r="H129" s="55"/>
      <c r="I129" s="55"/>
    </row>
    <row r="130" spans="2:9" ht="15.95" customHeight="1" x14ac:dyDescent="0.15">
      <c r="B130" s="56"/>
      <c r="C130" s="55"/>
      <c r="D130" s="55"/>
      <c r="E130" s="55"/>
      <c r="F130" s="55"/>
      <c r="G130" s="55"/>
      <c r="H130" s="55"/>
      <c r="I130" s="55"/>
    </row>
    <row r="131" spans="2:9" ht="15.95" customHeight="1" x14ac:dyDescent="0.15">
      <c r="B131" s="56"/>
      <c r="C131" s="55"/>
      <c r="D131" s="55"/>
      <c r="E131" s="55"/>
      <c r="F131" s="55"/>
      <c r="G131" s="55"/>
      <c r="H131" s="55"/>
      <c r="I131" s="55"/>
    </row>
    <row r="132" spans="2:9" ht="15.95" customHeight="1" x14ac:dyDescent="0.15">
      <c r="B132" s="56"/>
      <c r="C132" s="55"/>
      <c r="D132" s="55"/>
      <c r="E132" s="55"/>
      <c r="F132" s="55"/>
      <c r="G132" s="55"/>
      <c r="H132" s="55"/>
      <c r="I132" s="55"/>
    </row>
    <row r="133" spans="2:9" ht="15.95" customHeight="1" x14ac:dyDescent="0.15">
      <c r="B133" s="56"/>
      <c r="C133" s="55"/>
      <c r="D133" s="55"/>
      <c r="E133" s="55"/>
      <c r="F133" s="55"/>
      <c r="G133" s="55"/>
      <c r="H133" s="55"/>
      <c r="I133" s="55"/>
    </row>
    <row r="134" spans="2:9" ht="15.95" customHeight="1" x14ac:dyDescent="0.15">
      <c r="B134" s="56"/>
      <c r="C134" s="55"/>
      <c r="D134" s="55"/>
      <c r="E134" s="55"/>
      <c r="F134" s="55"/>
      <c r="G134" s="55"/>
      <c r="H134" s="55"/>
      <c r="I134" s="55"/>
    </row>
    <row r="135" spans="2:9" ht="15.95" customHeight="1" x14ac:dyDescent="0.15">
      <c r="B135" s="56"/>
      <c r="C135" s="55"/>
      <c r="D135" s="55"/>
      <c r="E135" s="55"/>
      <c r="F135" s="55"/>
      <c r="G135" s="55"/>
      <c r="H135" s="55"/>
      <c r="I135" s="55"/>
    </row>
    <row r="136" spans="2:9" ht="15.95" customHeight="1" x14ac:dyDescent="0.15">
      <c r="B136" s="56"/>
      <c r="C136" s="55"/>
      <c r="D136" s="55"/>
      <c r="E136" s="55"/>
      <c r="F136" s="55"/>
      <c r="G136" s="55"/>
      <c r="H136" s="55"/>
      <c r="I136" s="55"/>
    </row>
    <row r="137" spans="2:9" ht="15.95" customHeight="1" x14ac:dyDescent="0.15">
      <c r="B137" s="56"/>
      <c r="C137" s="55"/>
      <c r="D137" s="55"/>
      <c r="E137" s="55"/>
      <c r="F137" s="55"/>
      <c r="G137" s="55"/>
      <c r="H137" s="55"/>
      <c r="I137" s="55"/>
    </row>
    <row r="138" spans="2:9" ht="15.95" customHeight="1" x14ac:dyDescent="0.15">
      <c r="B138" s="56"/>
      <c r="C138" s="55"/>
      <c r="D138" s="55"/>
      <c r="E138" s="55"/>
      <c r="F138" s="55"/>
      <c r="G138" s="55"/>
      <c r="H138" s="55"/>
      <c r="I138" s="55"/>
    </row>
    <row r="139" spans="2:9" ht="15.95" customHeight="1" x14ac:dyDescent="0.15">
      <c r="B139" s="56"/>
      <c r="C139" s="55"/>
      <c r="D139" s="55"/>
      <c r="E139" s="55"/>
      <c r="F139" s="55"/>
      <c r="G139" s="55"/>
      <c r="H139" s="55"/>
      <c r="I139" s="55"/>
    </row>
    <row r="140" spans="2:9" ht="15.95" customHeight="1" x14ac:dyDescent="0.15">
      <c r="B140" s="56"/>
      <c r="C140" s="55"/>
      <c r="D140" s="55"/>
      <c r="E140" s="55"/>
      <c r="F140" s="55"/>
      <c r="G140" s="55"/>
      <c r="H140" s="55"/>
      <c r="I140" s="55"/>
    </row>
    <row r="141" spans="2:9" ht="15.95" customHeight="1" x14ac:dyDescent="0.15">
      <c r="B141" s="56"/>
      <c r="C141" s="55"/>
      <c r="D141" s="55"/>
      <c r="E141" s="55"/>
      <c r="F141" s="55"/>
      <c r="G141" s="55"/>
      <c r="H141" s="55"/>
      <c r="I141" s="55"/>
    </row>
    <row r="142" spans="2:9" ht="15.95" customHeight="1" x14ac:dyDescent="0.15">
      <c r="B142" s="56"/>
      <c r="C142" s="55"/>
      <c r="D142" s="55"/>
      <c r="E142" s="55"/>
      <c r="F142" s="55"/>
      <c r="G142" s="55"/>
      <c r="H142" s="55"/>
      <c r="I142" s="55"/>
    </row>
    <row r="143" spans="2:9" ht="15.95" customHeight="1" x14ac:dyDescent="0.15">
      <c r="B143" s="56"/>
      <c r="C143" s="55"/>
      <c r="D143" s="55"/>
      <c r="E143" s="55"/>
      <c r="F143" s="55"/>
      <c r="G143" s="55"/>
      <c r="H143" s="55"/>
      <c r="I143" s="55"/>
    </row>
    <row r="144" spans="2:9" ht="15.95" customHeight="1" x14ac:dyDescent="0.15">
      <c r="B144" s="56"/>
      <c r="C144" s="55"/>
      <c r="D144" s="55"/>
      <c r="E144" s="55"/>
      <c r="F144" s="55"/>
      <c r="G144" s="55"/>
      <c r="H144" s="55"/>
      <c r="I144" s="55"/>
    </row>
    <row r="145" spans="2:9" ht="15.95" customHeight="1" x14ac:dyDescent="0.15">
      <c r="B145" s="56"/>
      <c r="C145" s="55"/>
      <c r="D145" s="55"/>
      <c r="E145" s="55"/>
      <c r="F145" s="55"/>
      <c r="G145" s="55"/>
      <c r="H145" s="55"/>
      <c r="I145" s="55"/>
    </row>
    <row r="146" spans="2:9" ht="15.95" customHeight="1" x14ac:dyDescent="0.15">
      <c r="B146" s="56"/>
      <c r="C146" s="55"/>
      <c r="D146" s="55"/>
      <c r="E146" s="55"/>
      <c r="F146" s="55"/>
      <c r="G146" s="55"/>
      <c r="H146" s="55"/>
      <c r="I146" s="55"/>
    </row>
    <row r="147" spans="2:9" ht="15.95" customHeight="1" x14ac:dyDescent="0.15">
      <c r="B147" s="56"/>
      <c r="C147" s="55"/>
      <c r="D147" s="55"/>
      <c r="E147" s="55"/>
      <c r="F147" s="55"/>
      <c r="G147" s="55"/>
      <c r="H147" s="55"/>
      <c r="I147" s="55"/>
    </row>
    <row r="148" spans="2:9" ht="15.95" customHeight="1" x14ac:dyDescent="0.15">
      <c r="B148" s="56"/>
      <c r="C148" s="55"/>
      <c r="D148" s="55"/>
      <c r="E148" s="55"/>
      <c r="F148" s="55"/>
      <c r="G148" s="55"/>
      <c r="H148" s="55"/>
      <c r="I148" s="55"/>
    </row>
    <row r="149" spans="2:9" ht="15.95" customHeight="1" x14ac:dyDescent="0.15">
      <c r="B149" s="56"/>
      <c r="C149" s="55"/>
      <c r="D149" s="55"/>
      <c r="E149" s="55"/>
      <c r="F149" s="55"/>
      <c r="G149" s="55"/>
      <c r="H149" s="55"/>
      <c r="I149" s="55"/>
    </row>
    <row r="150" spans="2:9" ht="15.95" customHeight="1" x14ac:dyDescent="0.15">
      <c r="B150" s="56"/>
      <c r="C150" s="55"/>
      <c r="D150" s="55"/>
      <c r="E150" s="55"/>
      <c r="F150" s="55"/>
      <c r="G150" s="55"/>
      <c r="H150" s="55"/>
      <c r="I150" s="55"/>
    </row>
    <row r="151" spans="2:9" ht="15.95" customHeight="1" x14ac:dyDescent="0.15">
      <c r="B151" s="56"/>
      <c r="C151" s="55"/>
      <c r="D151" s="55"/>
      <c r="E151" s="55"/>
      <c r="F151" s="55"/>
      <c r="G151" s="55"/>
      <c r="H151" s="55"/>
      <c r="I151" s="55"/>
    </row>
    <row r="152" spans="2:9" ht="15.95" customHeight="1" x14ac:dyDescent="0.15">
      <c r="B152" s="56"/>
      <c r="C152" s="55"/>
      <c r="D152" s="55"/>
      <c r="E152" s="55"/>
      <c r="F152" s="55"/>
      <c r="G152" s="55"/>
      <c r="H152" s="55"/>
      <c r="I152" s="55"/>
    </row>
    <row r="153" spans="2:9" ht="15.95" customHeight="1" x14ac:dyDescent="0.15">
      <c r="B153" s="56"/>
      <c r="C153" s="55"/>
      <c r="D153" s="55"/>
      <c r="E153" s="55"/>
      <c r="F153" s="55"/>
      <c r="G153" s="55"/>
      <c r="H153" s="55"/>
      <c r="I153" s="55"/>
    </row>
    <row r="154" spans="2:9" ht="15.95" customHeight="1" x14ac:dyDescent="0.15">
      <c r="B154" s="56"/>
      <c r="C154" s="55"/>
      <c r="D154" s="55"/>
      <c r="E154" s="55"/>
      <c r="F154" s="55"/>
      <c r="G154" s="55"/>
      <c r="H154" s="55"/>
      <c r="I154" s="55"/>
    </row>
    <row r="155" spans="2:9" ht="15.95" customHeight="1" x14ac:dyDescent="0.15">
      <c r="B155" s="56"/>
      <c r="C155" s="55"/>
      <c r="D155" s="55"/>
      <c r="E155" s="55"/>
      <c r="F155" s="55"/>
      <c r="G155" s="55"/>
      <c r="H155" s="55"/>
      <c r="I155" s="55"/>
    </row>
    <row r="156" spans="2:9" ht="15.95" customHeight="1" x14ac:dyDescent="0.15">
      <c r="B156" s="56"/>
      <c r="C156" s="55"/>
      <c r="D156" s="55"/>
      <c r="E156" s="55"/>
      <c r="F156" s="55"/>
      <c r="G156" s="55"/>
      <c r="H156" s="55"/>
      <c r="I156" s="55"/>
    </row>
    <row r="157" spans="2:9" ht="15.95" customHeight="1" x14ac:dyDescent="0.15">
      <c r="B157" s="56"/>
      <c r="C157" s="55"/>
      <c r="D157" s="55"/>
      <c r="E157" s="55"/>
      <c r="F157" s="55"/>
      <c r="G157" s="55"/>
      <c r="H157" s="55"/>
      <c r="I157" s="55"/>
    </row>
    <row r="158" spans="2:9" ht="15.95" customHeight="1" x14ac:dyDescent="0.15">
      <c r="B158" s="56"/>
      <c r="C158" s="55"/>
      <c r="D158" s="55"/>
      <c r="E158" s="55"/>
      <c r="F158" s="55"/>
      <c r="G158" s="55"/>
      <c r="H158" s="55"/>
      <c r="I158" s="55"/>
    </row>
    <row r="159" spans="2:9" ht="15.95" customHeight="1" x14ac:dyDescent="0.15">
      <c r="B159" s="56"/>
      <c r="C159" s="55"/>
      <c r="D159" s="55"/>
      <c r="E159" s="55"/>
      <c r="F159" s="55"/>
      <c r="G159" s="55"/>
      <c r="H159" s="55"/>
      <c r="I159" s="55"/>
    </row>
    <row r="160" spans="2:9" ht="15.95" customHeight="1" x14ac:dyDescent="0.15">
      <c r="B160" s="56"/>
      <c r="C160" s="55"/>
      <c r="D160" s="55"/>
      <c r="E160" s="55"/>
      <c r="F160" s="55"/>
      <c r="G160" s="55"/>
      <c r="H160" s="55"/>
      <c r="I160" s="55"/>
    </row>
    <row r="161" spans="2:9" ht="15.95" customHeight="1" x14ac:dyDescent="0.15">
      <c r="B161" s="56"/>
      <c r="C161" s="55"/>
      <c r="D161" s="55"/>
      <c r="E161" s="55"/>
      <c r="F161" s="55"/>
      <c r="G161" s="55"/>
      <c r="H161" s="55"/>
      <c r="I161" s="55"/>
    </row>
    <row r="162" spans="2:9" ht="15.95" customHeight="1" x14ac:dyDescent="0.15">
      <c r="B162" s="56"/>
      <c r="C162" s="55"/>
      <c r="D162" s="55"/>
      <c r="E162" s="55"/>
      <c r="F162" s="55"/>
      <c r="G162" s="55"/>
      <c r="H162" s="55"/>
      <c r="I162" s="55"/>
    </row>
    <row r="163" spans="2:9" ht="15.95" customHeight="1" x14ac:dyDescent="0.15">
      <c r="B163" s="56"/>
      <c r="C163" s="55"/>
      <c r="D163" s="55"/>
      <c r="E163" s="55"/>
      <c r="F163" s="55"/>
      <c r="G163" s="55"/>
      <c r="H163" s="55"/>
      <c r="I163" s="55"/>
    </row>
    <row r="164" spans="2:9" ht="15.95" customHeight="1" x14ac:dyDescent="0.15">
      <c r="B164" s="56"/>
      <c r="C164" s="55"/>
      <c r="D164" s="55"/>
      <c r="E164" s="55"/>
      <c r="F164" s="55"/>
      <c r="G164" s="55"/>
      <c r="H164" s="55"/>
      <c r="I164" s="55"/>
    </row>
    <row r="165" spans="2:9" ht="15.95" customHeight="1" x14ac:dyDescent="0.15">
      <c r="B165" s="56"/>
      <c r="C165" s="55"/>
      <c r="D165" s="55"/>
      <c r="E165" s="55"/>
      <c r="F165" s="55"/>
      <c r="G165" s="55"/>
      <c r="H165" s="55"/>
      <c r="I165" s="55"/>
    </row>
    <row r="166" spans="2:9" ht="15.95" customHeight="1" x14ac:dyDescent="0.15">
      <c r="B166" s="56"/>
      <c r="C166" s="55"/>
      <c r="D166" s="55"/>
      <c r="E166" s="55"/>
      <c r="F166" s="55"/>
      <c r="G166" s="55"/>
      <c r="H166" s="55"/>
      <c r="I166" s="55"/>
    </row>
    <row r="167" spans="2:9" ht="15.95" customHeight="1" x14ac:dyDescent="0.15">
      <c r="B167" s="56"/>
      <c r="C167" s="55"/>
      <c r="D167" s="55"/>
      <c r="E167" s="55"/>
      <c r="F167" s="55"/>
      <c r="G167" s="55"/>
      <c r="H167" s="55"/>
      <c r="I167" s="55"/>
    </row>
    <row r="168" spans="2:9" ht="15.95" customHeight="1" x14ac:dyDescent="0.15">
      <c r="B168" s="56"/>
      <c r="C168" s="55"/>
      <c r="D168" s="55"/>
      <c r="E168" s="55"/>
      <c r="F168" s="55"/>
      <c r="G168" s="55"/>
      <c r="H168" s="55"/>
      <c r="I168" s="55"/>
    </row>
    <row r="169" spans="2:9" ht="15.95" customHeight="1" x14ac:dyDescent="0.15">
      <c r="B169" s="56"/>
      <c r="C169" s="55"/>
      <c r="D169" s="55"/>
      <c r="E169" s="55"/>
      <c r="F169" s="55"/>
      <c r="G169" s="55"/>
      <c r="H169" s="55"/>
      <c r="I169" s="55"/>
    </row>
    <row r="170" spans="2:9" ht="15.95" customHeight="1" x14ac:dyDescent="0.15">
      <c r="B170" s="56"/>
      <c r="C170" s="55"/>
      <c r="D170" s="55"/>
      <c r="E170" s="55"/>
      <c r="F170" s="55"/>
      <c r="G170" s="55"/>
      <c r="H170" s="55"/>
      <c r="I170" s="55"/>
    </row>
    <row r="171" spans="2:9" ht="15.95" customHeight="1" x14ac:dyDescent="0.15">
      <c r="B171" s="56"/>
      <c r="C171" s="55"/>
      <c r="D171" s="55"/>
      <c r="E171" s="55"/>
      <c r="F171" s="55"/>
      <c r="G171" s="55"/>
      <c r="H171" s="55"/>
      <c r="I171" s="55"/>
    </row>
    <row r="172" spans="2:9" ht="15.95" customHeight="1" x14ac:dyDescent="0.15">
      <c r="B172" s="56"/>
      <c r="C172" s="55"/>
      <c r="D172" s="55"/>
      <c r="E172" s="55"/>
      <c r="F172" s="55"/>
      <c r="G172" s="55"/>
      <c r="H172" s="55"/>
      <c r="I172" s="55"/>
    </row>
    <row r="173" spans="2:9" ht="15.95" customHeight="1" x14ac:dyDescent="0.15">
      <c r="B173" s="56"/>
      <c r="C173" s="55"/>
      <c r="D173" s="55"/>
      <c r="E173" s="55"/>
      <c r="F173" s="55"/>
      <c r="G173" s="55"/>
      <c r="H173" s="55"/>
      <c r="I173" s="55"/>
    </row>
    <row r="174" spans="2:9" ht="15.95" customHeight="1" x14ac:dyDescent="0.15">
      <c r="B174" s="56"/>
      <c r="C174" s="55"/>
      <c r="D174" s="55"/>
      <c r="E174" s="55"/>
      <c r="F174" s="55"/>
      <c r="G174" s="55"/>
      <c r="H174" s="55"/>
      <c r="I174" s="55"/>
    </row>
    <row r="175" spans="2:9" ht="15.95" customHeight="1" x14ac:dyDescent="0.15">
      <c r="B175" s="56"/>
      <c r="C175" s="55"/>
      <c r="D175" s="55"/>
      <c r="E175" s="55"/>
      <c r="F175" s="55"/>
      <c r="G175" s="55"/>
      <c r="H175" s="55"/>
      <c r="I175" s="55"/>
    </row>
    <row r="176" spans="2:9" ht="15.95" customHeight="1" x14ac:dyDescent="0.15">
      <c r="B176" s="56"/>
      <c r="C176" s="55"/>
      <c r="D176" s="55"/>
      <c r="E176" s="55"/>
      <c r="F176" s="55"/>
      <c r="G176" s="55"/>
      <c r="H176" s="55"/>
      <c r="I176" s="55"/>
    </row>
    <row r="177" spans="2:9" ht="15.95" customHeight="1" x14ac:dyDescent="0.15">
      <c r="B177" s="56"/>
      <c r="C177" s="55"/>
      <c r="D177" s="55"/>
      <c r="E177" s="55"/>
      <c r="F177" s="55"/>
      <c r="G177" s="55"/>
      <c r="H177" s="55"/>
      <c r="I177" s="55"/>
    </row>
    <row r="178" spans="2:9" ht="15.95" customHeight="1" x14ac:dyDescent="0.15">
      <c r="B178" s="56"/>
      <c r="C178" s="55"/>
      <c r="D178" s="55"/>
      <c r="E178" s="55"/>
      <c r="F178" s="55"/>
      <c r="G178" s="55"/>
      <c r="H178" s="55"/>
      <c r="I178" s="55"/>
    </row>
    <row r="179" spans="2:9" ht="15.95" customHeight="1" x14ac:dyDescent="0.15">
      <c r="B179" s="56"/>
      <c r="C179" s="55"/>
      <c r="D179" s="55"/>
      <c r="E179" s="55"/>
      <c r="F179" s="55"/>
      <c r="G179" s="55"/>
      <c r="H179" s="55"/>
      <c r="I179" s="55"/>
    </row>
    <row r="180" spans="2:9" ht="15.95" customHeight="1" x14ac:dyDescent="0.15">
      <c r="B180" s="56"/>
      <c r="C180" s="55"/>
      <c r="D180" s="55"/>
      <c r="E180" s="55"/>
      <c r="F180" s="55"/>
      <c r="G180" s="55"/>
      <c r="H180" s="55"/>
      <c r="I180" s="55"/>
    </row>
    <row r="181" spans="2:9" ht="15.95" customHeight="1" x14ac:dyDescent="0.15">
      <c r="B181" s="56"/>
      <c r="C181" s="55"/>
      <c r="D181" s="55"/>
      <c r="E181" s="55"/>
      <c r="F181" s="55"/>
      <c r="G181" s="55"/>
      <c r="H181" s="55"/>
      <c r="I181" s="55"/>
    </row>
    <row r="182" spans="2:9" ht="15.95" customHeight="1" x14ac:dyDescent="0.15">
      <c r="B182" s="56"/>
      <c r="C182" s="55"/>
      <c r="D182" s="55"/>
      <c r="E182" s="55"/>
      <c r="F182" s="55"/>
      <c r="G182" s="55"/>
      <c r="H182" s="55"/>
      <c r="I182" s="55"/>
    </row>
    <row r="183" spans="2:9" ht="15.95" customHeight="1" x14ac:dyDescent="0.15">
      <c r="B183" s="56"/>
      <c r="C183" s="55"/>
      <c r="D183" s="55"/>
      <c r="E183" s="55"/>
      <c r="F183" s="55"/>
      <c r="G183" s="55"/>
      <c r="H183" s="55"/>
      <c r="I183" s="55"/>
    </row>
    <row r="184" spans="2:9" ht="15.95" customHeight="1" x14ac:dyDescent="0.15">
      <c r="B184" s="56"/>
      <c r="C184" s="55"/>
      <c r="D184" s="55"/>
      <c r="E184" s="55"/>
      <c r="F184" s="55"/>
      <c r="G184" s="55"/>
      <c r="H184" s="55"/>
      <c r="I184" s="55"/>
    </row>
    <row r="185" spans="2:9" ht="15.95" customHeight="1" x14ac:dyDescent="0.15">
      <c r="B185" s="56"/>
      <c r="C185" s="55"/>
      <c r="D185" s="55"/>
      <c r="E185" s="55"/>
      <c r="F185" s="55"/>
      <c r="G185" s="55"/>
      <c r="H185" s="55"/>
      <c r="I185" s="55"/>
    </row>
    <row r="186" spans="2:9" ht="15.95" customHeight="1" x14ac:dyDescent="0.15">
      <c r="B186" s="56"/>
      <c r="C186" s="55"/>
      <c r="D186" s="55"/>
      <c r="E186" s="55"/>
      <c r="F186" s="55"/>
      <c r="G186" s="55"/>
      <c r="H186" s="55"/>
      <c r="I186" s="55"/>
    </row>
    <row r="187" spans="2:9" ht="15.95" customHeight="1" x14ac:dyDescent="0.15">
      <c r="B187" s="56"/>
      <c r="C187" s="55"/>
      <c r="D187" s="55"/>
      <c r="E187" s="55"/>
      <c r="F187" s="55"/>
      <c r="G187" s="55"/>
      <c r="H187" s="55"/>
      <c r="I187" s="55"/>
    </row>
    <row r="188" spans="2:9" ht="15.95" customHeight="1" x14ac:dyDescent="0.15">
      <c r="B188" s="56"/>
      <c r="C188" s="55"/>
      <c r="D188" s="55"/>
      <c r="E188" s="55"/>
      <c r="F188" s="55"/>
      <c r="G188" s="55"/>
      <c r="H188" s="55"/>
      <c r="I188" s="55"/>
    </row>
    <row r="189" spans="2:9" ht="15.95" customHeight="1" x14ac:dyDescent="0.15">
      <c r="B189" s="56"/>
      <c r="C189" s="55"/>
      <c r="D189" s="55"/>
      <c r="E189" s="55"/>
      <c r="F189" s="55"/>
      <c r="G189" s="55"/>
      <c r="H189" s="55"/>
      <c r="I189" s="55"/>
    </row>
    <row r="190" spans="2:9" ht="15.95" customHeight="1" x14ac:dyDescent="0.15">
      <c r="B190" s="56"/>
      <c r="C190" s="55"/>
      <c r="D190" s="55"/>
      <c r="E190" s="55"/>
      <c r="F190" s="55"/>
      <c r="G190" s="55"/>
      <c r="H190" s="55"/>
      <c r="I190" s="55"/>
    </row>
    <row r="191" spans="2:9" ht="15.95" customHeight="1" x14ac:dyDescent="0.15">
      <c r="B191" s="56"/>
      <c r="C191" s="55"/>
      <c r="D191" s="55"/>
      <c r="E191" s="55"/>
      <c r="F191" s="55"/>
      <c r="G191" s="55"/>
      <c r="H191" s="55"/>
      <c r="I191" s="55"/>
    </row>
    <row r="192" spans="2:9" ht="15.95" customHeight="1" x14ac:dyDescent="0.15">
      <c r="B192" s="56"/>
      <c r="C192" s="55"/>
      <c r="D192" s="55"/>
      <c r="E192" s="55"/>
      <c r="F192" s="55"/>
      <c r="G192" s="55"/>
      <c r="H192" s="55"/>
      <c r="I192" s="55"/>
    </row>
    <row r="193" spans="2:9" ht="15.95" customHeight="1" x14ac:dyDescent="0.15">
      <c r="B193" s="56"/>
      <c r="C193" s="55"/>
      <c r="D193" s="55"/>
      <c r="E193" s="55"/>
      <c r="F193" s="55"/>
      <c r="G193" s="55"/>
      <c r="H193" s="55"/>
      <c r="I193" s="55"/>
    </row>
    <row r="194" spans="2:9" ht="15.95" customHeight="1" x14ac:dyDescent="0.15">
      <c r="B194" s="56"/>
      <c r="C194" s="55"/>
      <c r="D194" s="55"/>
      <c r="E194" s="55"/>
      <c r="F194" s="55"/>
      <c r="G194" s="55"/>
      <c r="H194" s="55"/>
      <c r="I194" s="55"/>
    </row>
    <row r="195" spans="2:9" ht="15.95" customHeight="1" x14ac:dyDescent="0.15">
      <c r="B195" s="56"/>
      <c r="C195" s="55"/>
      <c r="D195" s="55"/>
      <c r="E195" s="55"/>
      <c r="F195" s="55"/>
      <c r="G195" s="55"/>
      <c r="H195" s="55"/>
      <c r="I195" s="55"/>
    </row>
    <row r="196" spans="2:9" ht="15.95" customHeight="1" x14ac:dyDescent="0.15">
      <c r="B196" s="56"/>
      <c r="C196" s="55"/>
      <c r="D196" s="55"/>
      <c r="E196" s="55"/>
      <c r="F196" s="55"/>
      <c r="G196" s="55"/>
      <c r="H196" s="55"/>
      <c r="I196" s="55"/>
    </row>
    <row r="197" spans="2:9" ht="15.95" customHeight="1" x14ac:dyDescent="0.15">
      <c r="B197" s="56"/>
      <c r="C197" s="55"/>
      <c r="D197" s="55"/>
      <c r="E197" s="55"/>
      <c r="F197" s="55"/>
      <c r="G197" s="55"/>
      <c r="H197" s="55"/>
      <c r="I197" s="55"/>
    </row>
    <row r="198" spans="2:9" ht="15.95" customHeight="1" x14ac:dyDescent="0.15">
      <c r="B198" s="56"/>
      <c r="C198" s="55"/>
      <c r="D198" s="55"/>
      <c r="E198" s="55"/>
      <c r="F198" s="55"/>
      <c r="G198" s="55"/>
      <c r="H198" s="55"/>
      <c r="I198" s="55"/>
    </row>
    <row r="199" spans="2:9" ht="15.95" customHeight="1" x14ac:dyDescent="0.15">
      <c r="B199" s="56"/>
      <c r="C199" s="55"/>
      <c r="D199" s="55"/>
      <c r="E199" s="55"/>
      <c r="F199" s="55"/>
      <c r="G199" s="55"/>
      <c r="H199" s="55"/>
      <c r="I199" s="55"/>
    </row>
    <row r="200" spans="2:9" ht="15.95" customHeight="1" x14ac:dyDescent="0.15">
      <c r="B200" s="56"/>
      <c r="C200" s="55"/>
      <c r="D200" s="55"/>
      <c r="E200" s="55"/>
      <c r="F200" s="55"/>
      <c r="G200" s="55"/>
      <c r="H200" s="55"/>
      <c r="I200" s="55"/>
    </row>
    <row r="201" spans="2:9" ht="15.95" customHeight="1" x14ac:dyDescent="0.15">
      <c r="B201" s="56"/>
      <c r="C201" s="55"/>
      <c r="D201" s="55"/>
      <c r="E201" s="55"/>
      <c r="F201" s="55"/>
      <c r="G201" s="55"/>
      <c r="H201" s="55"/>
      <c r="I201" s="55"/>
    </row>
    <row r="202" spans="2:9" ht="15.95" customHeight="1" x14ac:dyDescent="0.15">
      <c r="B202" s="56"/>
      <c r="C202" s="55"/>
      <c r="D202" s="55"/>
      <c r="E202" s="55"/>
      <c r="F202" s="55"/>
      <c r="G202" s="55"/>
      <c r="H202" s="55"/>
      <c r="I202" s="55"/>
    </row>
    <row r="203" spans="2:9" ht="15.95" customHeight="1" x14ac:dyDescent="0.15">
      <c r="B203" s="56"/>
      <c r="C203" s="55"/>
      <c r="D203" s="55"/>
      <c r="E203" s="55"/>
      <c r="F203" s="55"/>
      <c r="G203" s="55"/>
      <c r="H203" s="55"/>
      <c r="I203" s="55"/>
    </row>
    <row r="204" spans="2:9" ht="15.95" customHeight="1" x14ac:dyDescent="0.15">
      <c r="B204" s="56"/>
      <c r="C204" s="55"/>
      <c r="D204" s="55"/>
      <c r="E204" s="55"/>
      <c r="F204" s="55"/>
      <c r="G204" s="55"/>
      <c r="H204" s="55"/>
      <c r="I204" s="55"/>
    </row>
    <row r="205" spans="2:9" ht="15.95" customHeight="1" x14ac:dyDescent="0.15">
      <c r="B205" s="56"/>
      <c r="C205" s="55"/>
      <c r="D205" s="55"/>
      <c r="E205" s="55"/>
      <c r="F205" s="55"/>
      <c r="G205" s="55"/>
      <c r="H205" s="55"/>
      <c r="I205" s="55"/>
    </row>
    <row r="206" spans="2:9" ht="15.95" customHeight="1" x14ac:dyDescent="0.15">
      <c r="B206" s="56"/>
      <c r="C206" s="55"/>
      <c r="D206" s="55"/>
      <c r="E206" s="55"/>
      <c r="F206" s="55"/>
      <c r="G206" s="55"/>
      <c r="H206" s="55"/>
      <c r="I206" s="55"/>
    </row>
    <row r="207" spans="2:9" ht="15.95" customHeight="1" x14ac:dyDescent="0.15">
      <c r="B207" s="56"/>
      <c r="C207" s="55"/>
      <c r="D207" s="55"/>
      <c r="E207" s="55"/>
      <c r="F207" s="55"/>
      <c r="G207" s="55"/>
      <c r="H207" s="55"/>
      <c r="I207" s="55"/>
    </row>
    <row r="208" spans="2:9" ht="15.95" customHeight="1" x14ac:dyDescent="0.15">
      <c r="B208" s="56"/>
      <c r="C208" s="55"/>
      <c r="D208" s="55"/>
      <c r="E208" s="55"/>
      <c r="F208" s="55"/>
      <c r="G208" s="55"/>
      <c r="H208" s="55"/>
      <c r="I208" s="55"/>
    </row>
    <row r="209" spans="2:9" ht="15.95" customHeight="1" x14ac:dyDescent="0.15">
      <c r="B209" s="56"/>
      <c r="C209" s="55"/>
      <c r="D209" s="55"/>
      <c r="E209" s="55"/>
      <c r="F209" s="55"/>
      <c r="G209" s="55"/>
      <c r="H209" s="55"/>
      <c r="I209" s="55"/>
    </row>
    <row r="210" spans="2:9" ht="15.95" customHeight="1" x14ac:dyDescent="0.15">
      <c r="B210" s="56"/>
      <c r="C210" s="55"/>
      <c r="D210" s="55"/>
      <c r="E210" s="55"/>
      <c r="F210" s="55"/>
      <c r="G210" s="55"/>
      <c r="H210" s="55"/>
      <c r="I210" s="55"/>
    </row>
    <row r="211" spans="2:9" ht="15.95" customHeight="1" x14ac:dyDescent="0.15">
      <c r="B211" s="56"/>
      <c r="C211" s="55"/>
      <c r="D211" s="55"/>
      <c r="E211" s="55"/>
      <c r="F211" s="55"/>
      <c r="G211" s="55"/>
      <c r="H211" s="55"/>
      <c r="I211" s="55"/>
    </row>
    <row r="212" spans="2:9" ht="15.95" customHeight="1" x14ac:dyDescent="0.15">
      <c r="B212" s="56"/>
      <c r="C212" s="55"/>
      <c r="D212" s="55"/>
      <c r="E212" s="55"/>
      <c r="F212" s="55"/>
      <c r="G212" s="55"/>
      <c r="H212" s="55"/>
      <c r="I212" s="55"/>
    </row>
    <row r="213" spans="2:9" ht="15.95" customHeight="1" x14ac:dyDescent="0.15">
      <c r="B213" s="56"/>
      <c r="C213" s="55"/>
      <c r="D213" s="55"/>
      <c r="E213" s="55"/>
      <c r="F213" s="55"/>
      <c r="G213" s="55"/>
      <c r="H213" s="55"/>
      <c r="I213" s="55"/>
    </row>
    <row r="214" spans="2:9" ht="15.95" customHeight="1" x14ac:dyDescent="0.15">
      <c r="B214" s="56"/>
      <c r="C214" s="55"/>
      <c r="D214" s="55"/>
      <c r="E214" s="55"/>
      <c r="F214" s="55"/>
      <c r="G214" s="55"/>
      <c r="H214" s="55"/>
      <c r="I214" s="55"/>
    </row>
    <row r="215" spans="2:9" ht="15.95" customHeight="1" x14ac:dyDescent="0.15">
      <c r="B215" s="56"/>
      <c r="C215" s="55"/>
      <c r="D215" s="55"/>
      <c r="E215" s="55"/>
      <c r="F215" s="55"/>
      <c r="G215" s="55"/>
      <c r="H215" s="55"/>
      <c r="I215" s="55"/>
    </row>
    <row r="216" spans="2:9" ht="15.95" customHeight="1" x14ac:dyDescent="0.15">
      <c r="B216" s="56"/>
      <c r="C216" s="55"/>
      <c r="D216" s="55"/>
      <c r="E216" s="55"/>
      <c r="F216" s="55"/>
      <c r="G216" s="55"/>
      <c r="H216" s="55"/>
      <c r="I216" s="55"/>
    </row>
    <row r="217" spans="2:9" ht="15.95" customHeight="1" x14ac:dyDescent="0.15">
      <c r="B217" s="56"/>
      <c r="C217" s="55"/>
      <c r="D217" s="55"/>
      <c r="E217" s="55"/>
      <c r="F217" s="55"/>
      <c r="G217" s="55"/>
      <c r="H217" s="55"/>
      <c r="I217" s="55"/>
    </row>
    <row r="218" spans="2:9" ht="15.95" customHeight="1" x14ac:dyDescent="0.15">
      <c r="B218" s="56"/>
      <c r="C218" s="55"/>
      <c r="D218" s="55"/>
      <c r="E218" s="55"/>
      <c r="F218" s="55"/>
      <c r="G218" s="55"/>
      <c r="H218" s="55"/>
      <c r="I218" s="55"/>
    </row>
    <row r="219" spans="2:9" ht="15.95" customHeight="1" x14ac:dyDescent="0.15">
      <c r="B219" s="56"/>
      <c r="C219" s="55"/>
      <c r="D219" s="55"/>
      <c r="E219" s="55"/>
      <c r="F219" s="55"/>
      <c r="G219" s="55"/>
      <c r="H219" s="55"/>
      <c r="I219" s="55"/>
    </row>
    <row r="220" spans="2:9" ht="15.95" customHeight="1" x14ac:dyDescent="0.15">
      <c r="B220" s="56"/>
      <c r="C220" s="55"/>
      <c r="D220" s="55"/>
      <c r="E220" s="55"/>
      <c r="F220" s="55"/>
      <c r="G220" s="55"/>
      <c r="H220" s="55"/>
      <c r="I220" s="55"/>
    </row>
    <row r="221" spans="2:9" ht="15.95" customHeight="1" x14ac:dyDescent="0.15">
      <c r="B221" s="56"/>
      <c r="C221" s="55"/>
      <c r="D221" s="55"/>
      <c r="E221" s="55"/>
      <c r="F221" s="55"/>
      <c r="G221" s="55"/>
      <c r="H221" s="55"/>
      <c r="I221" s="55"/>
    </row>
    <row r="222" spans="2:9" ht="15.95" customHeight="1" x14ac:dyDescent="0.15">
      <c r="B222" s="56"/>
      <c r="C222" s="55"/>
      <c r="D222" s="55"/>
      <c r="E222" s="55"/>
      <c r="F222" s="55"/>
      <c r="G222" s="55"/>
      <c r="H222" s="55"/>
      <c r="I222" s="55"/>
    </row>
    <row r="223" spans="2:9" ht="15.95" customHeight="1" x14ac:dyDescent="0.15">
      <c r="B223" s="56"/>
      <c r="C223" s="55"/>
      <c r="D223" s="55"/>
      <c r="E223" s="55"/>
      <c r="F223" s="55"/>
      <c r="G223" s="55"/>
      <c r="H223" s="55"/>
      <c r="I223" s="55"/>
    </row>
    <row r="224" spans="2:9" ht="15.95" customHeight="1" x14ac:dyDescent="0.15">
      <c r="B224" s="56"/>
      <c r="C224" s="55"/>
      <c r="D224" s="55"/>
      <c r="E224" s="55"/>
      <c r="F224" s="55"/>
      <c r="G224" s="55"/>
      <c r="H224" s="55"/>
      <c r="I224" s="55"/>
    </row>
    <row r="225" spans="2:9" ht="15.95" customHeight="1" x14ac:dyDescent="0.15">
      <c r="B225" s="56"/>
      <c r="C225" s="55"/>
      <c r="D225" s="55"/>
      <c r="E225" s="55"/>
      <c r="F225" s="55"/>
      <c r="G225" s="55"/>
      <c r="H225" s="55"/>
      <c r="I225" s="55"/>
    </row>
    <row r="226" spans="2:9" ht="15.95" customHeight="1" x14ac:dyDescent="0.15">
      <c r="B226" s="56"/>
      <c r="C226" s="55"/>
      <c r="D226" s="55"/>
      <c r="E226" s="55"/>
      <c r="F226" s="55"/>
      <c r="G226" s="55"/>
      <c r="H226" s="55"/>
      <c r="I226" s="55"/>
    </row>
    <row r="227" spans="2:9" ht="15.95" customHeight="1" x14ac:dyDescent="0.15">
      <c r="B227" s="56"/>
      <c r="C227" s="55"/>
      <c r="D227" s="55"/>
      <c r="E227" s="55"/>
      <c r="F227" s="55"/>
      <c r="G227" s="55"/>
      <c r="H227" s="55"/>
      <c r="I227" s="55"/>
    </row>
    <row r="228" spans="2:9" ht="15.95" customHeight="1" x14ac:dyDescent="0.15">
      <c r="B228" s="56"/>
      <c r="C228" s="55"/>
      <c r="D228" s="55"/>
      <c r="E228" s="55"/>
      <c r="F228" s="55"/>
      <c r="G228" s="55"/>
      <c r="H228" s="55"/>
      <c r="I228" s="55"/>
    </row>
    <row r="229" spans="2:9" ht="15.95" customHeight="1" x14ac:dyDescent="0.15">
      <c r="B229" s="56"/>
      <c r="C229" s="55"/>
      <c r="D229" s="55"/>
      <c r="E229" s="55"/>
      <c r="F229" s="55"/>
      <c r="G229" s="55"/>
      <c r="H229" s="55"/>
      <c r="I229" s="55"/>
    </row>
    <row r="230" spans="2:9" ht="15.95" customHeight="1" x14ac:dyDescent="0.15">
      <c r="B230" s="56"/>
      <c r="C230" s="55"/>
      <c r="D230" s="55"/>
      <c r="E230" s="55"/>
      <c r="F230" s="55"/>
      <c r="G230" s="55"/>
      <c r="H230" s="55"/>
      <c r="I230" s="55"/>
    </row>
    <row r="231" spans="2:9" ht="15.95" customHeight="1" x14ac:dyDescent="0.15">
      <c r="B231" s="56"/>
      <c r="C231" s="55"/>
      <c r="D231" s="55"/>
      <c r="E231" s="55"/>
      <c r="F231" s="55"/>
      <c r="G231" s="55"/>
      <c r="H231" s="55"/>
      <c r="I231" s="55"/>
    </row>
    <row r="232" spans="2:9" ht="15.95" customHeight="1" x14ac:dyDescent="0.15">
      <c r="B232" s="56"/>
      <c r="C232" s="55"/>
      <c r="D232" s="55"/>
      <c r="E232" s="55"/>
      <c r="F232" s="55"/>
      <c r="G232" s="55"/>
      <c r="H232" s="55"/>
      <c r="I232" s="55"/>
    </row>
    <row r="233" spans="2:9" ht="15.95" customHeight="1" x14ac:dyDescent="0.15">
      <c r="B233" s="56"/>
      <c r="C233" s="55"/>
      <c r="D233" s="55"/>
      <c r="E233" s="55"/>
      <c r="F233" s="55"/>
      <c r="G233" s="55"/>
      <c r="H233" s="55"/>
      <c r="I233" s="55"/>
    </row>
    <row r="234" spans="2:9" ht="15.95" customHeight="1" x14ac:dyDescent="0.15">
      <c r="B234" s="56"/>
      <c r="C234" s="55"/>
      <c r="D234" s="55"/>
      <c r="E234" s="55"/>
      <c r="F234" s="55"/>
      <c r="G234" s="55"/>
      <c r="H234" s="55"/>
      <c r="I234" s="55"/>
    </row>
    <row r="235" spans="2:9" ht="15.95" customHeight="1" x14ac:dyDescent="0.15">
      <c r="B235" s="56"/>
      <c r="C235" s="55"/>
      <c r="D235" s="55"/>
      <c r="E235" s="55"/>
      <c r="F235" s="55"/>
      <c r="G235" s="55"/>
      <c r="H235" s="55"/>
      <c r="I235" s="55"/>
    </row>
    <row r="236" spans="2:9" ht="15.95" customHeight="1" x14ac:dyDescent="0.15">
      <c r="B236" s="56"/>
      <c r="C236" s="55"/>
      <c r="D236" s="55"/>
      <c r="E236" s="55"/>
      <c r="F236" s="55"/>
      <c r="G236" s="55"/>
      <c r="H236" s="55"/>
      <c r="I236" s="55"/>
    </row>
    <row r="237" spans="2:9" ht="15.95" customHeight="1" x14ac:dyDescent="0.15">
      <c r="B237" s="56"/>
      <c r="C237" s="55"/>
      <c r="D237" s="55"/>
      <c r="E237" s="55"/>
      <c r="F237" s="55"/>
      <c r="G237" s="55"/>
      <c r="H237" s="55"/>
      <c r="I237" s="55"/>
    </row>
    <row r="238" spans="2:9" ht="15.95" customHeight="1" x14ac:dyDescent="0.15">
      <c r="B238" s="56"/>
      <c r="C238" s="55"/>
      <c r="D238" s="55"/>
      <c r="E238" s="55"/>
      <c r="F238" s="55"/>
      <c r="G238" s="55"/>
      <c r="H238" s="55"/>
      <c r="I238" s="55"/>
    </row>
    <row r="239" spans="2:9" ht="15.95" customHeight="1" x14ac:dyDescent="0.15">
      <c r="B239" s="56"/>
      <c r="C239" s="55"/>
      <c r="D239" s="55"/>
      <c r="E239" s="55"/>
      <c r="F239" s="55"/>
      <c r="G239" s="55"/>
      <c r="H239" s="55"/>
      <c r="I239" s="55"/>
    </row>
    <row r="240" spans="2:9" ht="15.95" customHeight="1" x14ac:dyDescent="0.15">
      <c r="B240" s="56"/>
      <c r="C240" s="55"/>
      <c r="D240" s="55"/>
      <c r="E240" s="55"/>
      <c r="F240" s="55"/>
      <c r="G240" s="55"/>
      <c r="H240" s="55"/>
      <c r="I240" s="55"/>
    </row>
    <row r="241" spans="2:9" ht="15.95" customHeight="1" x14ac:dyDescent="0.15">
      <c r="B241" s="56"/>
      <c r="C241" s="55"/>
      <c r="D241" s="55"/>
      <c r="E241" s="55"/>
      <c r="F241" s="55"/>
      <c r="G241" s="55"/>
      <c r="H241" s="55"/>
      <c r="I241" s="55"/>
    </row>
    <row r="242" spans="2:9" ht="15.95" customHeight="1" x14ac:dyDescent="0.15">
      <c r="B242" s="56"/>
      <c r="C242" s="55"/>
      <c r="D242" s="55"/>
      <c r="E242" s="55"/>
      <c r="F242" s="55"/>
      <c r="G242" s="55"/>
      <c r="H242" s="55"/>
      <c r="I242" s="55"/>
    </row>
    <row r="243" spans="2:9" ht="15.95" customHeight="1" x14ac:dyDescent="0.15">
      <c r="B243" s="56"/>
      <c r="C243" s="55"/>
      <c r="D243" s="55"/>
      <c r="E243" s="55"/>
      <c r="F243" s="55"/>
      <c r="G243" s="55"/>
      <c r="H243" s="55"/>
      <c r="I243" s="55"/>
    </row>
    <row r="244" spans="2:9" ht="15.95" customHeight="1" x14ac:dyDescent="0.15">
      <c r="B244" s="56"/>
      <c r="C244" s="55"/>
      <c r="D244" s="55"/>
      <c r="E244" s="55"/>
      <c r="F244" s="55"/>
      <c r="G244" s="55"/>
      <c r="H244" s="55"/>
      <c r="I244" s="55"/>
    </row>
    <row r="245" spans="2:9" ht="15.95" customHeight="1" x14ac:dyDescent="0.15">
      <c r="B245" s="56"/>
      <c r="C245" s="55"/>
      <c r="D245" s="55"/>
      <c r="E245" s="55"/>
      <c r="F245" s="55"/>
      <c r="G245" s="55"/>
      <c r="H245" s="55"/>
      <c r="I245" s="55"/>
    </row>
    <row r="246" spans="2:9" ht="15.95" customHeight="1" x14ac:dyDescent="0.15">
      <c r="B246" s="56"/>
      <c r="C246" s="55"/>
      <c r="D246" s="55"/>
      <c r="E246" s="55"/>
      <c r="F246" s="55"/>
      <c r="G246" s="55"/>
      <c r="H246" s="55"/>
      <c r="I246" s="55"/>
    </row>
    <row r="247" spans="2:9" ht="15.95" customHeight="1" x14ac:dyDescent="0.15">
      <c r="B247" s="56"/>
      <c r="C247" s="55"/>
      <c r="D247" s="55"/>
      <c r="E247" s="55"/>
      <c r="F247" s="55"/>
      <c r="G247" s="55"/>
      <c r="H247" s="55"/>
      <c r="I247" s="55"/>
    </row>
    <row r="248" spans="2:9" ht="15.95" customHeight="1" x14ac:dyDescent="0.15">
      <c r="B248" s="56"/>
      <c r="C248" s="55"/>
      <c r="D248" s="55"/>
      <c r="E248" s="55"/>
      <c r="F248" s="55"/>
      <c r="G248" s="55"/>
      <c r="H248" s="55"/>
      <c r="I248" s="55"/>
    </row>
    <row r="249" spans="2:9" ht="15.95" customHeight="1" x14ac:dyDescent="0.15">
      <c r="B249" s="56"/>
      <c r="C249" s="55"/>
      <c r="D249" s="55"/>
      <c r="E249" s="55"/>
      <c r="F249" s="55"/>
      <c r="G249" s="55"/>
      <c r="H249" s="55"/>
      <c r="I249" s="55"/>
    </row>
    <row r="250" spans="2:9" ht="15.95" customHeight="1" x14ac:dyDescent="0.15">
      <c r="B250" s="56"/>
      <c r="C250" s="55"/>
      <c r="D250" s="55"/>
      <c r="E250" s="55"/>
      <c r="F250" s="55"/>
      <c r="G250" s="55"/>
      <c r="H250" s="55"/>
      <c r="I250" s="55"/>
    </row>
    <row r="251" spans="2:9" ht="15.95" customHeight="1" x14ac:dyDescent="0.15">
      <c r="B251" s="56"/>
      <c r="C251" s="55"/>
      <c r="D251" s="55"/>
      <c r="E251" s="55"/>
      <c r="F251" s="55"/>
      <c r="G251" s="55"/>
      <c r="H251" s="55"/>
      <c r="I251" s="55"/>
    </row>
    <row r="252" spans="2:9" ht="15.95" customHeight="1" x14ac:dyDescent="0.15">
      <c r="B252" s="56"/>
      <c r="C252" s="55"/>
      <c r="D252" s="55"/>
      <c r="E252" s="55"/>
      <c r="F252" s="55"/>
      <c r="G252" s="55"/>
      <c r="H252" s="55"/>
      <c r="I252" s="55"/>
    </row>
    <row r="253" spans="2:9" ht="15.95" customHeight="1" x14ac:dyDescent="0.15">
      <c r="B253" s="56"/>
      <c r="C253" s="55"/>
      <c r="D253" s="55"/>
      <c r="E253" s="55"/>
      <c r="F253" s="55"/>
      <c r="G253" s="55"/>
      <c r="H253" s="55"/>
      <c r="I253" s="55"/>
    </row>
    <row r="254" spans="2:9" ht="15.95" customHeight="1" x14ac:dyDescent="0.15">
      <c r="B254" s="56"/>
      <c r="C254" s="55"/>
      <c r="D254" s="55"/>
      <c r="E254" s="55"/>
      <c r="F254" s="55"/>
      <c r="G254" s="55"/>
      <c r="H254" s="55"/>
      <c r="I254" s="55"/>
    </row>
    <row r="255" spans="2:9" ht="15.95" customHeight="1" x14ac:dyDescent="0.15">
      <c r="B255" s="56"/>
      <c r="C255" s="55"/>
      <c r="D255" s="55"/>
      <c r="E255" s="55"/>
      <c r="F255" s="55"/>
      <c r="G255" s="55"/>
      <c r="H255" s="55"/>
      <c r="I255" s="55"/>
    </row>
    <row r="256" spans="2:9" ht="15.95" customHeight="1" x14ac:dyDescent="0.15">
      <c r="B256" s="56"/>
      <c r="C256" s="55"/>
      <c r="D256" s="55"/>
      <c r="E256" s="55"/>
      <c r="F256" s="55"/>
      <c r="G256" s="55"/>
      <c r="H256" s="55"/>
      <c r="I256" s="55"/>
    </row>
    <row r="257" spans="2:9" ht="15.95" customHeight="1" x14ac:dyDescent="0.15">
      <c r="B257" s="56"/>
      <c r="C257" s="55"/>
      <c r="D257" s="55"/>
      <c r="E257" s="55"/>
      <c r="F257" s="55"/>
      <c r="G257" s="55"/>
      <c r="H257" s="55"/>
      <c r="I257" s="55"/>
    </row>
    <row r="258" spans="2:9" ht="15.95" customHeight="1" x14ac:dyDescent="0.15">
      <c r="B258" s="56"/>
      <c r="C258" s="55"/>
      <c r="D258" s="55"/>
      <c r="E258" s="55"/>
      <c r="F258" s="55"/>
      <c r="G258" s="55"/>
      <c r="H258" s="55"/>
      <c r="I258" s="55"/>
    </row>
    <row r="259" spans="2:9" ht="15.95" customHeight="1" x14ac:dyDescent="0.15">
      <c r="B259" s="56"/>
      <c r="C259" s="55"/>
      <c r="D259" s="55"/>
      <c r="E259" s="55"/>
      <c r="F259" s="55"/>
      <c r="G259" s="55"/>
      <c r="H259" s="55"/>
      <c r="I259" s="55"/>
    </row>
    <row r="260" spans="2:9" ht="15.95" customHeight="1" x14ac:dyDescent="0.15">
      <c r="B260" s="56"/>
      <c r="C260" s="55"/>
      <c r="D260" s="55"/>
      <c r="E260" s="55"/>
      <c r="F260" s="55"/>
      <c r="G260" s="55"/>
      <c r="H260" s="55"/>
      <c r="I260" s="55"/>
    </row>
    <row r="261" spans="2:9" ht="15.95" customHeight="1" x14ac:dyDescent="0.15">
      <c r="B261" s="56"/>
      <c r="C261" s="55"/>
      <c r="D261" s="55"/>
      <c r="E261" s="55"/>
      <c r="F261" s="55"/>
      <c r="G261" s="55"/>
      <c r="H261" s="55"/>
      <c r="I261" s="55"/>
    </row>
    <row r="262" spans="2:9" ht="15.95" customHeight="1" x14ac:dyDescent="0.15">
      <c r="B262" s="56"/>
      <c r="C262" s="55"/>
      <c r="D262" s="55"/>
      <c r="E262" s="55"/>
      <c r="F262" s="55"/>
      <c r="G262" s="55"/>
      <c r="H262" s="55"/>
      <c r="I262" s="55"/>
    </row>
    <row r="263" spans="2:9" ht="15.95" customHeight="1" x14ac:dyDescent="0.15">
      <c r="B263" s="56"/>
      <c r="C263" s="55"/>
      <c r="D263" s="55"/>
      <c r="E263" s="55"/>
      <c r="F263" s="55"/>
      <c r="G263" s="55"/>
      <c r="H263" s="55"/>
      <c r="I263" s="55"/>
    </row>
    <row r="264" spans="2:9" ht="15.95" customHeight="1" x14ac:dyDescent="0.15">
      <c r="B264" s="56"/>
      <c r="C264" s="55"/>
      <c r="D264" s="55"/>
      <c r="E264" s="55"/>
      <c r="F264" s="55"/>
      <c r="G264" s="55"/>
      <c r="H264" s="55"/>
      <c r="I264" s="55"/>
    </row>
    <row r="265" spans="2:9" ht="15.95" customHeight="1" x14ac:dyDescent="0.15">
      <c r="B265" s="56"/>
      <c r="C265" s="55"/>
      <c r="D265" s="55"/>
      <c r="E265" s="55"/>
      <c r="F265" s="55"/>
      <c r="G265" s="55"/>
      <c r="H265" s="55"/>
      <c r="I265" s="55"/>
    </row>
    <row r="266" spans="2:9" ht="15.95" customHeight="1" x14ac:dyDescent="0.15">
      <c r="B266" s="56"/>
      <c r="C266" s="55"/>
      <c r="D266" s="55"/>
      <c r="E266" s="55"/>
      <c r="F266" s="55"/>
      <c r="G266" s="55"/>
      <c r="H266" s="55"/>
      <c r="I266" s="55"/>
    </row>
    <row r="267" spans="2:9" ht="15.95" customHeight="1" x14ac:dyDescent="0.15">
      <c r="B267" s="56"/>
      <c r="C267" s="55"/>
      <c r="D267" s="55"/>
      <c r="E267" s="55"/>
      <c r="F267" s="55"/>
      <c r="G267" s="55"/>
      <c r="H267" s="55"/>
      <c r="I267" s="55"/>
    </row>
    <row r="268" spans="2:9" ht="15.95" customHeight="1" x14ac:dyDescent="0.15">
      <c r="B268" s="56"/>
      <c r="C268" s="55"/>
      <c r="D268" s="55"/>
      <c r="E268" s="55"/>
      <c r="F268" s="55"/>
      <c r="G268" s="55"/>
      <c r="H268" s="55"/>
      <c r="I268" s="55"/>
    </row>
    <row r="269" spans="2:9" ht="15.95" customHeight="1" x14ac:dyDescent="0.15">
      <c r="B269" s="56"/>
      <c r="C269" s="55"/>
      <c r="D269" s="55"/>
      <c r="E269" s="55"/>
      <c r="F269" s="55"/>
      <c r="G269" s="55"/>
      <c r="H269" s="55"/>
      <c r="I269" s="55"/>
    </row>
    <row r="270" spans="2:9" ht="15.95" customHeight="1" x14ac:dyDescent="0.15">
      <c r="B270" s="56"/>
      <c r="C270" s="55"/>
      <c r="D270" s="55"/>
      <c r="E270" s="55"/>
      <c r="F270" s="55"/>
      <c r="G270" s="55"/>
      <c r="H270" s="55"/>
      <c r="I270" s="55"/>
    </row>
    <row r="271" spans="2:9" ht="15.95" customHeight="1" x14ac:dyDescent="0.15">
      <c r="B271" s="56"/>
      <c r="C271" s="55"/>
      <c r="D271" s="55"/>
      <c r="E271" s="55"/>
      <c r="F271" s="55"/>
      <c r="G271" s="55"/>
      <c r="H271" s="55"/>
      <c r="I271" s="55"/>
    </row>
    <row r="272" spans="2:9" ht="15.95" customHeight="1" x14ac:dyDescent="0.15">
      <c r="B272" s="56"/>
      <c r="C272" s="55"/>
      <c r="D272" s="55"/>
      <c r="E272" s="55"/>
      <c r="F272" s="55"/>
      <c r="G272" s="55"/>
      <c r="H272" s="55"/>
      <c r="I272" s="55"/>
    </row>
    <row r="273" spans="2:9" ht="15.95" customHeight="1" x14ac:dyDescent="0.15">
      <c r="B273" s="56"/>
      <c r="C273" s="55"/>
      <c r="D273" s="55"/>
      <c r="E273" s="55"/>
      <c r="F273" s="55"/>
      <c r="G273" s="55"/>
      <c r="H273" s="55"/>
      <c r="I273" s="55"/>
    </row>
    <row r="274" spans="2:9" ht="15.95" customHeight="1" x14ac:dyDescent="0.15">
      <c r="B274" s="56"/>
      <c r="C274" s="55"/>
      <c r="D274" s="55"/>
      <c r="E274" s="55"/>
      <c r="F274" s="55"/>
      <c r="G274" s="55"/>
      <c r="H274" s="55"/>
      <c r="I274" s="55"/>
    </row>
    <row r="275" spans="2:9" ht="15.95" customHeight="1" x14ac:dyDescent="0.15">
      <c r="B275" s="56"/>
      <c r="C275" s="55"/>
      <c r="D275" s="55"/>
      <c r="E275" s="55"/>
      <c r="F275" s="55"/>
      <c r="G275" s="55"/>
      <c r="H275" s="55"/>
      <c r="I275" s="55"/>
    </row>
    <row r="276" spans="2:9" ht="15.95" customHeight="1" x14ac:dyDescent="0.15">
      <c r="B276" s="56"/>
      <c r="C276" s="55"/>
      <c r="D276" s="55"/>
      <c r="E276" s="55"/>
      <c r="F276" s="55"/>
      <c r="G276" s="55"/>
      <c r="H276" s="55"/>
      <c r="I276" s="55"/>
    </row>
    <row r="277" spans="2:9" ht="15.95" customHeight="1" x14ac:dyDescent="0.15">
      <c r="B277" s="56"/>
      <c r="C277" s="55"/>
      <c r="D277" s="55"/>
      <c r="E277" s="55"/>
      <c r="F277" s="55"/>
      <c r="G277" s="55"/>
      <c r="H277" s="55"/>
      <c r="I277" s="55"/>
    </row>
    <row r="278" spans="2:9" ht="15.95" customHeight="1" x14ac:dyDescent="0.15">
      <c r="B278" s="56"/>
      <c r="C278" s="55"/>
      <c r="D278" s="55"/>
      <c r="E278" s="55"/>
      <c r="F278" s="55"/>
      <c r="G278" s="55"/>
      <c r="H278" s="55"/>
      <c r="I278" s="55"/>
    </row>
    <row r="279" spans="2:9" ht="15.95" customHeight="1" x14ac:dyDescent="0.15">
      <c r="B279" s="56"/>
      <c r="C279" s="55"/>
      <c r="D279" s="55"/>
      <c r="E279" s="55"/>
      <c r="F279" s="55"/>
      <c r="G279" s="55"/>
      <c r="H279" s="55"/>
      <c r="I279" s="55"/>
    </row>
    <row r="280" spans="2:9" ht="15.95" customHeight="1" x14ac:dyDescent="0.15">
      <c r="B280" s="56"/>
      <c r="C280" s="55"/>
      <c r="D280" s="55"/>
      <c r="E280" s="55"/>
      <c r="F280" s="55"/>
      <c r="G280" s="55"/>
      <c r="H280" s="55"/>
      <c r="I280" s="55"/>
    </row>
    <row r="281" spans="2:9" ht="15.95" customHeight="1" x14ac:dyDescent="0.15">
      <c r="B281" s="56"/>
      <c r="C281" s="55"/>
      <c r="D281" s="55"/>
      <c r="E281" s="55"/>
      <c r="F281" s="55"/>
      <c r="G281" s="55"/>
      <c r="H281" s="55"/>
      <c r="I281" s="55"/>
    </row>
    <row r="282" spans="2:9" ht="15.95" customHeight="1" x14ac:dyDescent="0.15">
      <c r="B282" s="56"/>
      <c r="C282" s="55"/>
      <c r="D282" s="55"/>
      <c r="E282" s="55"/>
      <c r="F282" s="55"/>
      <c r="G282" s="55"/>
      <c r="H282" s="55"/>
      <c r="I282" s="55"/>
    </row>
    <row r="283" spans="2:9" ht="15.95" customHeight="1" x14ac:dyDescent="0.15">
      <c r="B283" s="56"/>
      <c r="C283" s="55"/>
      <c r="D283" s="55"/>
      <c r="E283" s="55"/>
      <c r="F283" s="55"/>
      <c r="G283" s="55"/>
      <c r="H283" s="55"/>
      <c r="I283" s="55"/>
    </row>
    <row r="284" spans="2:9" ht="15.95" customHeight="1" x14ac:dyDescent="0.15">
      <c r="B284" s="56"/>
      <c r="C284" s="55"/>
      <c r="D284" s="55"/>
      <c r="E284" s="55"/>
      <c r="F284" s="55"/>
      <c r="G284" s="55"/>
      <c r="H284" s="55"/>
      <c r="I284" s="55"/>
    </row>
    <row r="285" spans="2:9" ht="15.95" customHeight="1" x14ac:dyDescent="0.15">
      <c r="B285" s="56"/>
      <c r="C285" s="55"/>
      <c r="D285" s="55"/>
      <c r="E285" s="55"/>
      <c r="F285" s="55"/>
      <c r="G285" s="55"/>
      <c r="H285" s="55"/>
      <c r="I285" s="55"/>
    </row>
    <row r="286" spans="2:9" ht="15.95" customHeight="1" x14ac:dyDescent="0.15">
      <c r="B286" s="56"/>
      <c r="C286" s="55"/>
      <c r="D286" s="55"/>
      <c r="E286" s="55"/>
      <c r="F286" s="55"/>
      <c r="G286" s="55"/>
      <c r="H286" s="55"/>
      <c r="I286" s="55"/>
    </row>
    <row r="287" spans="2:9" ht="15.95" customHeight="1" x14ac:dyDescent="0.15">
      <c r="B287" s="56"/>
      <c r="C287" s="55"/>
      <c r="D287" s="55"/>
      <c r="E287" s="55"/>
      <c r="F287" s="55"/>
      <c r="G287" s="55"/>
      <c r="H287" s="55"/>
      <c r="I287" s="55"/>
    </row>
    <row r="288" spans="2:9" ht="15.95" customHeight="1" x14ac:dyDescent="0.15">
      <c r="B288" s="56"/>
      <c r="C288" s="55"/>
      <c r="D288" s="55"/>
      <c r="E288" s="55"/>
      <c r="F288" s="55"/>
      <c r="G288" s="55"/>
      <c r="H288" s="55"/>
      <c r="I288" s="55"/>
    </row>
    <row r="289" spans="2:9" ht="15.95" customHeight="1" x14ac:dyDescent="0.15">
      <c r="B289" s="56"/>
      <c r="C289" s="55"/>
      <c r="D289" s="55"/>
      <c r="E289" s="55"/>
      <c r="F289" s="55"/>
      <c r="G289" s="55"/>
      <c r="H289" s="55"/>
      <c r="I289" s="55"/>
    </row>
    <row r="290" spans="2:9" ht="15.95" customHeight="1" x14ac:dyDescent="0.15">
      <c r="B290" s="56"/>
      <c r="C290" s="55"/>
      <c r="D290" s="55"/>
      <c r="E290" s="55"/>
      <c r="F290" s="55"/>
      <c r="G290" s="55"/>
      <c r="H290" s="55"/>
      <c r="I290" s="55"/>
    </row>
    <row r="291" spans="2:9" ht="15.95" customHeight="1" x14ac:dyDescent="0.15">
      <c r="B291" s="56"/>
      <c r="C291" s="55"/>
      <c r="D291" s="55"/>
      <c r="E291" s="55"/>
      <c r="F291" s="55"/>
      <c r="G291" s="55"/>
      <c r="H291" s="55"/>
      <c r="I291" s="55"/>
    </row>
    <row r="292" spans="2:9" ht="15.95" customHeight="1" x14ac:dyDescent="0.15">
      <c r="B292" s="56"/>
      <c r="C292" s="55"/>
      <c r="D292" s="55"/>
      <c r="E292" s="55"/>
      <c r="F292" s="55"/>
      <c r="G292" s="55"/>
      <c r="H292" s="55"/>
      <c r="I292" s="55"/>
    </row>
    <row r="293" spans="2:9" ht="15.95" customHeight="1" x14ac:dyDescent="0.15">
      <c r="B293" s="56"/>
      <c r="C293" s="55"/>
      <c r="D293" s="55"/>
      <c r="E293" s="55"/>
      <c r="F293" s="55"/>
      <c r="G293" s="55"/>
      <c r="H293" s="55"/>
      <c r="I293" s="55"/>
    </row>
    <row r="294" spans="2:9" ht="15.95" customHeight="1" x14ac:dyDescent="0.15">
      <c r="B294" s="56"/>
      <c r="C294" s="55"/>
      <c r="D294" s="55"/>
      <c r="E294" s="55"/>
      <c r="F294" s="55"/>
      <c r="G294" s="55"/>
      <c r="H294" s="55"/>
      <c r="I294" s="55"/>
    </row>
    <row r="295" spans="2:9" ht="15.95" customHeight="1" x14ac:dyDescent="0.15">
      <c r="B295" s="56"/>
      <c r="C295" s="55"/>
      <c r="D295" s="55"/>
      <c r="E295" s="55"/>
      <c r="F295" s="55"/>
      <c r="G295" s="55"/>
      <c r="H295" s="55"/>
      <c r="I295" s="55"/>
    </row>
    <row r="296" spans="2:9" ht="15.95" customHeight="1" x14ac:dyDescent="0.15">
      <c r="B296" s="56"/>
      <c r="C296" s="55"/>
      <c r="D296" s="55"/>
      <c r="E296" s="55"/>
      <c r="F296" s="55"/>
      <c r="G296" s="55"/>
      <c r="H296" s="55"/>
      <c r="I296" s="55"/>
    </row>
    <row r="297" spans="2:9" ht="15.95" customHeight="1" x14ac:dyDescent="0.15">
      <c r="B297" s="56"/>
      <c r="C297" s="55"/>
      <c r="D297" s="55"/>
      <c r="E297" s="55"/>
      <c r="F297" s="55"/>
      <c r="G297" s="55"/>
      <c r="H297" s="55"/>
      <c r="I297" s="55"/>
    </row>
    <row r="298" spans="2:9" ht="15.95" customHeight="1" x14ac:dyDescent="0.15">
      <c r="B298" s="56"/>
      <c r="C298" s="55"/>
      <c r="D298" s="55"/>
      <c r="E298" s="55"/>
      <c r="F298" s="55"/>
      <c r="G298" s="55"/>
      <c r="H298" s="55"/>
      <c r="I298" s="55"/>
    </row>
    <row r="299" spans="2:9" ht="15.95" customHeight="1" x14ac:dyDescent="0.15">
      <c r="B299" s="56"/>
      <c r="C299" s="55"/>
      <c r="D299" s="55"/>
      <c r="E299" s="55"/>
      <c r="F299" s="55"/>
      <c r="G299" s="55"/>
      <c r="H299" s="55"/>
      <c r="I299" s="55"/>
    </row>
    <row r="300" spans="2:9" ht="15.95" customHeight="1" x14ac:dyDescent="0.15">
      <c r="B300" s="56"/>
      <c r="C300" s="55"/>
      <c r="D300" s="55"/>
      <c r="E300" s="55"/>
      <c r="F300" s="55"/>
      <c r="G300" s="55"/>
      <c r="H300" s="55"/>
      <c r="I300" s="55"/>
    </row>
    <row r="301" spans="2:9" ht="15.95" customHeight="1" x14ac:dyDescent="0.15">
      <c r="B301" s="56"/>
      <c r="C301" s="55"/>
      <c r="D301" s="55"/>
      <c r="E301" s="55"/>
      <c r="F301" s="55"/>
      <c r="G301" s="55"/>
      <c r="H301" s="55"/>
      <c r="I301" s="55"/>
    </row>
    <row r="302" spans="2:9" ht="15.95" customHeight="1" x14ac:dyDescent="0.15">
      <c r="B302" s="56"/>
      <c r="C302" s="55"/>
      <c r="D302" s="55"/>
      <c r="E302" s="55"/>
      <c r="F302" s="55"/>
      <c r="G302" s="55"/>
      <c r="H302" s="55"/>
      <c r="I302" s="55"/>
    </row>
    <row r="303" spans="2:9" ht="15.95" customHeight="1" x14ac:dyDescent="0.15">
      <c r="B303" s="56"/>
      <c r="C303" s="55"/>
      <c r="D303" s="55"/>
      <c r="E303" s="55"/>
      <c r="F303" s="55"/>
      <c r="G303" s="55"/>
      <c r="H303" s="55"/>
      <c r="I303" s="55"/>
    </row>
    <row r="304" spans="2:9" ht="15.95" customHeight="1" x14ac:dyDescent="0.15">
      <c r="B304" s="56"/>
      <c r="C304" s="55"/>
      <c r="D304" s="55"/>
      <c r="E304" s="55"/>
      <c r="F304" s="55"/>
      <c r="G304" s="55"/>
      <c r="H304" s="55"/>
      <c r="I304" s="55"/>
    </row>
    <row r="305" spans="2:9" ht="15.95" customHeight="1" x14ac:dyDescent="0.15">
      <c r="B305" s="56"/>
      <c r="C305" s="55"/>
      <c r="D305" s="55"/>
      <c r="E305" s="55"/>
      <c r="F305" s="55"/>
      <c r="G305" s="55"/>
      <c r="H305" s="55"/>
      <c r="I305" s="55"/>
    </row>
    <row r="306" spans="2:9" ht="15.95" customHeight="1" x14ac:dyDescent="0.15">
      <c r="B306" s="56"/>
      <c r="C306" s="55"/>
      <c r="D306" s="55"/>
      <c r="E306" s="55"/>
      <c r="F306" s="55"/>
      <c r="G306" s="55"/>
      <c r="H306" s="55"/>
      <c r="I306" s="55"/>
    </row>
    <row r="307" spans="2:9" ht="15.95" customHeight="1" x14ac:dyDescent="0.15">
      <c r="B307" s="56"/>
      <c r="C307" s="55"/>
      <c r="D307" s="55"/>
      <c r="E307" s="55"/>
      <c r="F307" s="55"/>
      <c r="G307" s="55"/>
      <c r="H307" s="55"/>
      <c r="I307" s="55"/>
    </row>
    <row r="308" spans="2:9" ht="15.95" customHeight="1" x14ac:dyDescent="0.15">
      <c r="B308" s="56"/>
      <c r="C308" s="55"/>
      <c r="D308" s="55"/>
      <c r="E308" s="55"/>
      <c r="F308" s="55"/>
      <c r="G308" s="55"/>
      <c r="H308" s="55"/>
      <c r="I308" s="55"/>
    </row>
    <row r="309" spans="2:9" ht="15.95" customHeight="1" x14ac:dyDescent="0.15">
      <c r="B309" s="56"/>
      <c r="C309" s="55"/>
      <c r="D309" s="55"/>
      <c r="E309" s="55"/>
      <c r="F309" s="55"/>
      <c r="G309" s="55"/>
      <c r="H309" s="55"/>
      <c r="I309" s="55"/>
    </row>
    <row r="310" spans="2:9" ht="15.95" customHeight="1" x14ac:dyDescent="0.15">
      <c r="B310" s="56"/>
      <c r="C310" s="55"/>
      <c r="D310" s="55"/>
      <c r="E310" s="55"/>
      <c r="F310" s="55"/>
      <c r="G310" s="55"/>
      <c r="H310" s="55"/>
      <c r="I310" s="55"/>
    </row>
    <row r="311" spans="2:9" ht="15.95" customHeight="1" x14ac:dyDescent="0.15">
      <c r="B311" s="56"/>
      <c r="C311" s="55"/>
      <c r="D311" s="55"/>
      <c r="E311" s="55"/>
      <c r="F311" s="55"/>
      <c r="G311" s="55"/>
      <c r="H311" s="55"/>
      <c r="I311" s="55"/>
    </row>
    <row r="312" spans="2:9" ht="15.95" customHeight="1" x14ac:dyDescent="0.15">
      <c r="B312" s="56"/>
      <c r="C312" s="55"/>
      <c r="D312" s="55"/>
      <c r="E312" s="55"/>
      <c r="F312" s="55"/>
      <c r="G312" s="55"/>
      <c r="H312" s="55"/>
      <c r="I312" s="55"/>
    </row>
  </sheetData>
  <sortState ref="A3:I32">
    <sortCondition ref="C1:C1048576"/>
    <sortCondition ref="B1:B1048576"/>
  </sortState>
  <mergeCells count="1">
    <mergeCell ref="B1:I1"/>
  </mergeCells>
  <phoneticPr fontId="3" type="noConversion"/>
  <dataValidations count="2">
    <dataValidation type="list" allowBlank="1" showInputMessage="1" showErrorMessage="1" sqref="I41:I44 I33 I31">
      <formula1>零件类别</formula1>
    </dataValidation>
    <dataValidation type="list" allowBlank="1" showInputMessage="1" showErrorMessage="1" sqref="I45:I50 I52:I56 I32 I30 I35:I38">
      <formula1>原材料名称</formula1>
    </dataValidation>
  </dataValidations>
  <pageMargins left="0.31496062992125984" right="0.31496062992125984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00"/>
  <sheetViews>
    <sheetView tabSelected="1" zoomScale="160" zoomScaleNormal="160" workbookViewId="0">
      <pane ySplit="2" topLeftCell="A3" activePane="bottomLeft" state="frozen"/>
      <selection pane="bottomLeft" activeCell="E10" sqref="E10"/>
    </sheetView>
  </sheetViews>
  <sheetFormatPr defaultRowHeight="13.5" x14ac:dyDescent="0.15"/>
  <cols>
    <col min="1" max="1" width="3.25" style="21" bestFit="1" customWidth="1"/>
    <col min="2" max="2" width="7.25" style="21" hidden="1" customWidth="1"/>
    <col min="3" max="3" width="15" style="21" bestFit="1" customWidth="1"/>
    <col min="4" max="4" width="22.375" style="21" customWidth="1"/>
    <col min="5" max="5" width="17.75" style="21" customWidth="1"/>
    <col min="6" max="6" width="4.5" style="21" customWidth="1"/>
    <col min="7" max="7" width="8.75" style="62" bestFit="1" customWidth="1"/>
    <col min="8" max="8" width="5.75" style="21" customWidth="1"/>
    <col min="9" max="9" width="8.625" style="21" customWidth="1"/>
    <col min="10" max="10" width="9" style="21" customWidth="1"/>
    <col min="11" max="11" width="9" style="20"/>
    <col min="12" max="12" width="10.625" style="20" customWidth="1"/>
    <col min="13" max="16384" width="9" style="20"/>
  </cols>
  <sheetData>
    <row r="1" spans="1:16" s="7" customFormat="1" ht="18.75" x14ac:dyDescent="0.15">
      <c r="A1" s="109" t="s">
        <v>1060</v>
      </c>
      <c r="B1" s="109"/>
      <c r="C1" s="109"/>
      <c r="D1" s="109"/>
      <c r="E1" s="109"/>
      <c r="F1" s="109"/>
      <c r="G1" s="109"/>
      <c r="H1" s="109"/>
      <c r="I1" s="109"/>
    </row>
    <row r="2" spans="1:16" s="17" customFormat="1" ht="26.25" customHeight="1" x14ac:dyDescent="0.15">
      <c r="A2" s="14" t="s">
        <v>18</v>
      </c>
      <c r="B2" s="15" t="s">
        <v>37</v>
      </c>
      <c r="C2" s="16" t="s">
        <v>6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23</v>
      </c>
      <c r="I2" s="16" t="s">
        <v>2</v>
      </c>
      <c r="J2" s="17" t="s">
        <v>24</v>
      </c>
      <c r="L2" s="51"/>
      <c r="M2" s="51"/>
      <c r="N2" s="52"/>
      <c r="O2" s="51"/>
      <c r="P2" s="52"/>
    </row>
    <row r="3" spans="1:16" s="24" customFormat="1" x14ac:dyDescent="0.15">
      <c r="A3" s="68">
        <v>1</v>
      </c>
      <c r="B3" s="68">
        <v>1.1000000000000001</v>
      </c>
      <c r="C3" s="68" t="s">
        <v>981</v>
      </c>
      <c r="D3" s="68" t="s">
        <v>899</v>
      </c>
      <c r="E3" s="68"/>
      <c r="F3" s="68">
        <v>2</v>
      </c>
      <c r="G3" s="62" t="s">
        <v>900</v>
      </c>
      <c r="H3" s="68">
        <v>0.6</v>
      </c>
      <c r="I3" s="68"/>
      <c r="J3" s="68" t="s">
        <v>896</v>
      </c>
    </row>
    <row r="4" spans="1:16" s="24" customFormat="1" x14ac:dyDescent="0.15">
      <c r="A4" s="68">
        <v>2</v>
      </c>
      <c r="B4" s="68">
        <v>1.3</v>
      </c>
      <c r="C4" s="68" t="s">
        <v>985</v>
      </c>
      <c r="D4" s="68" t="s">
        <v>1059</v>
      </c>
      <c r="E4" s="68"/>
      <c r="F4" s="68">
        <v>1</v>
      </c>
      <c r="G4" s="62" t="s">
        <v>900</v>
      </c>
      <c r="H4" s="68">
        <v>0.4</v>
      </c>
      <c r="I4" s="68" t="s">
        <v>841</v>
      </c>
      <c r="J4" s="68" t="s">
        <v>896</v>
      </c>
    </row>
    <row r="5" spans="1:16" s="24" customFormat="1" x14ac:dyDescent="0.15">
      <c r="A5" s="68">
        <v>3</v>
      </c>
      <c r="B5" s="68">
        <v>1.2</v>
      </c>
      <c r="C5" s="68" t="s">
        <v>983</v>
      </c>
      <c r="D5" s="68" t="s">
        <v>903</v>
      </c>
      <c r="E5" s="68"/>
      <c r="F5" s="68">
        <v>1</v>
      </c>
      <c r="G5" s="62" t="s">
        <v>900</v>
      </c>
      <c r="H5" s="68">
        <v>0.1</v>
      </c>
      <c r="I5" s="68"/>
      <c r="J5" s="68" t="s">
        <v>896</v>
      </c>
    </row>
    <row r="6" spans="1:16" s="24" customFormat="1" x14ac:dyDescent="0.15">
      <c r="A6" s="68">
        <v>4</v>
      </c>
      <c r="B6" s="68">
        <v>2.1</v>
      </c>
      <c r="C6" s="68" t="s">
        <v>987</v>
      </c>
      <c r="D6" s="68" t="s">
        <v>910</v>
      </c>
      <c r="E6" s="68"/>
      <c r="F6" s="68">
        <v>1</v>
      </c>
      <c r="G6" s="62" t="s">
        <v>900</v>
      </c>
      <c r="H6" s="68">
        <v>0.1</v>
      </c>
      <c r="I6" s="68"/>
      <c r="J6" s="68" t="s">
        <v>896</v>
      </c>
    </row>
    <row r="7" spans="1:16" s="24" customFormat="1" x14ac:dyDescent="0.15">
      <c r="A7" s="68">
        <v>5</v>
      </c>
      <c r="B7" s="69">
        <v>2.2000000000000002</v>
      </c>
      <c r="C7" s="69" t="s">
        <v>989</v>
      </c>
      <c r="D7" s="69" t="s">
        <v>912</v>
      </c>
      <c r="E7" s="69"/>
      <c r="F7" s="69">
        <v>1</v>
      </c>
      <c r="G7" s="65" t="s">
        <v>900</v>
      </c>
      <c r="H7" s="69">
        <v>0.7</v>
      </c>
      <c r="I7" s="69"/>
      <c r="J7" s="69" t="s">
        <v>896</v>
      </c>
    </row>
    <row r="8" spans="1:16" s="24" customFormat="1" x14ac:dyDescent="0.15">
      <c r="A8" s="68">
        <v>6</v>
      </c>
      <c r="B8" s="68">
        <v>2.2999999999999998</v>
      </c>
      <c r="C8" s="68" t="s">
        <v>991</v>
      </c>
      <c r="D8" s="68" t="s">
        <v>914</v>
      </c>
      <c r="E8" s="68"/>
      <c r="F8" s="68">
        <v>1</v>
      </c>
      <c r="G8" s="62" t="s">
        <v>900</v>
      </c>
      <c r="H8" s="68">
        <v>0.1</v>
      </c>
      <c r="I8" s="68"/>
      <c r="J8" s="68" t="s">
        <v>896</v>
      </c>
    </row>
    <row r="9" spans="1:16" s="24" customFormat="1" x14ac:dyDescent="0.15">
      <c r="A9" s="68">
        <v>7</v>
      </c>
      <c r="B9" s="68">
        <v>3.2</v>
      </c>
      <c r="C9" s="68" t="s">
        <v>993</v>
      </c>
      <c r="D9" s="68" t="s">
        <v>920</v>
      </c>
      <c r="E9" s="68"/>
      <c r="F9" s="68">
        <v>2</v>
      </c>
      <c r="G9" s="62" t="s">
        <v>900</v>
      </c>
      <c r="H9" s="68">
        <v>0.4</v>
      </c>
      <c r="I9" s="68"/>
      <c r="J9" s="68" t="s">
        <v>896</v>
      </c>
    </row>
    <row r="10" spans="1:16" s="24" customFormat="1" x14ac:dyDescent="0.15">
      <c r="A10" s="68">
        <v>8</v>
      </c>
      <c r="B10" s="68">
        <v>3.3</v>
      </c>
      <c r="C10" s="68" t="s">
        <v>995</v>
      </c>
      <c r="D10" s="68" t="s">
        <v>922</v>
      </c>
      <c r="E10" s="68"/>
      <c r="F10" s="68">
        <v>1</v>
      </c>
      <c r="G10" s="62" t="s">
        <v>900</v>
      </c>
      <c r="H10" s="68">
        <v>0.2</v>
      </c>
      <c r="I10" s="68" t="s">
        <v>841</v>
      </c>
      <c r="J10" s="68" t="s">
        <v>896</v>
      </c>
    </row>
    <row r="11" spans="1:16" s="24" customFormat="1" x14ac:dyDescent="0.15">
      <c r="A11" s="68">
        <v>9</v>
      </c>
      <c r="B11" s="68">
        <v>4.0999999999999996</v>
      </c>
      <c r="C11" s="68" t="s">
        <v>1001</v>
      </c>
      <c r="D11" s="68" t="s">
        <v>928</v>
      </c>
      <c r="E11" s="68"/>
      <c r="F11" s="68">
        <v>8</v>
      </c>
      <c r="G11" s="62" t="s">
        <v>929</v>
      </c>
      <c r="H11" s="68">
        <v>0.1</v>
      </c>
      <c r="I11" s="68" t="s">
        <v>841</v>
      </c>
      <c r="J11" s="68" t="s">
        <v>896</v>
      </c>
    </row>
    <row r="12" spans="1:16" s="24" customFormat="1" x14ac:dyDescent="0.15">
      <c r="A12" s="68">
        <v>10</v>
      </c>
      <c r="B12" s="68">
        <v>4.2</v>
      </c>
      <c r="C12" s="68" t="s">
        <v>1003</v>
      </c>
      <c r="D12" s="68" t="s">
        <v>930</v>
      </c>
      <c r="E12" s="68"/>
      <c r="F12" s="68">
        <v>1</v>
      </c>
      <c r="G12" s="62" t="s">
        <v>900</v>
      </c>
      <c r="H12" s="68">
        <v>0</v>
      </c>
      <c r="I12" s="68" t="s">
        <v>841</v>
      </c>
      <c r="J12" s="68" t="s">
        <v>896</v>
      </c>
    </row>
    <row r="13" spans="1:16" s="24" customFormat="1" x14ac:dyDescent="0.15">
      <c r="A13" s="68">
        <v>11</v>
      </c>
      <c r="B13" s="68">
        <v>5.0999999999999996</v>
      </c>
      <c r="C13" s="68" t="s">
        <v>1005</v>
      </c>
      <c r="D13" s="68" t="s">
        <v>934</v>
      </c>
      <c r="E13" s="68"/>
      <c r="F13" s="68">
        <v>1</v>
      </c>
      <c r="G13" s="62">
        <v>304</v>
      </c>
      <c r="H13" s="68">
        <v>0</v>
      </c>
      <c r="I13" s="68"/>
      <c r="J13" s="68" t="s">
        <v>896</v>
      </c>
    </row>
    <row r="14" spans="1:16" s="24" customFormat="1" x14ac:dyDescent="0.15">
      <c r="A14" s="68">
        <v>12</v>
      </c>
      <c r="B14" s="68">
        <v>5.2</v>
      </c>
      <c r="C14" s="68" t="s">
        <v>1007</v>
      </c>
      <c r="D14" s="68" t="s">
        <v>935</v>
      </c>
      <c r="E14" s="68"/>
      <c r="F14" s="68">
        <v>1</v>
      </c>
      <c r="G14" s="62" t="s">
        <v>900</v>
      </c>
      <c r="H14" s="68">
        <v>0</v>
      </c>
      <c r="I14" s="68"/>
      <c r="J14" s="68" t="s">
        <v>896</v>
      </c>
    </row>
    <row r="15" spans="1:16" s="24" customFormat="1" x14ac:dyDescent="0.15">
      <c r="A15" s="68">
        <v>13</v>
      </c>
      <c r="B15" s="68">
        <v>5.3</v>
      </c>
      <c r="C15" s="68" t="s">
        <v>1009</v>
      </c>
      <c r="D15" s="68" t="s">
        <v>936</v>
      </c>
      <c r="E15" s="68"/>
      <c r="F15" s="68">
        <v>1</v>
      </c>
      <c r="G15" s="62" t="s">
        <v>900</v>
      </c>
      <c r="H15" s="68">
        <v>0.1</v>
      </c>
      <c r="I15" s="68"/>
      <c r="J15" s="68" t="s">
        <v>896</v>
      </c>
    </row>
    <row r="16" spans="1:16" s="24" customFormat="1" x14ac:dyDescent="0.15">
      <c r="A16" s="68">
        <v>14</v>
      </c>
      <c r="B16" s="68">
        <v>6.1</v>
      </c>
      <c r="C16" s="68" t="s">
        <v>1011</v>
      </c>
      <c r="D16" s="68" t="s">
        <v>940</v>
      </c>
      <c r="E16" s="68"/>
      <c r="F16" s="68">
        <v>1</v>
      </c>
      <c r="G16" s="62" t="s">
        <v>900</v>
      </c>
      <c r="H16" s="68">
        <v>0</v>
      </c>
      <c r="I16" s="68"/>
      <c r="J16" s="68" t="s">
        <v>896</v>
      </c>
    </row>
    <row r="17" spans="1:10" s="24" customFormat="1" x14ac:dyDescent="0.15">
      <c r="A17" s="68">
        <v>15</v>
      </c>
      <c r="B17" s="68">
        <v>6.2</v>
      </c>
      <c r="C17" s="68" t="s">
        <v>1013</v>
      </c>
      <c r="D17" s="68" t="s">
        <v>941</v>
      </c>
      <c r="E17" s="68"/>
      <c r="F17" s="68">
        <v>1</v>
      </c>
      <c r="G17" s="62" t="s">
        <v>900</v>
      </c>
      <c r="H17" s="68">
        <v>0.8</v>
      </c>
      <c r="I17" s="68"/>
      <c r="J17" s="68" t="s">
        <v>896</v>
      </c>
    </row>
    <row r="18" spans="1:10" s="24" customFormat="1" x14ac:dyDescent="0.15">
      <c r="A18" s="68">
        <v>16</v>
      </c>
      <c r="B18" s="68">
        <v>7.1</v>
      </c>
      <c r="C18" s="68" t="s">
        <v>1015</v>
      </c>
      <c r="D18" s="68" t="s">
        <v>946</v>
      </c>
      <c r="E18" s="68"/>
      <c r="F18" s="68">
        <v>1</v>
      </c>
      <c r="G18" s="62">
        <v>304</v>
      </c>
      <c r="H18" s="68"/>
      <c r="I18" s="68"/>
      <c r="J18" s="68" t="s">
        <v>896</v>
      </c>
    </row>
    <row r="19" spans="1:10" x14ac:dyDescent="0.15">
      <c r="A19" s="68">
        <v>17</v>
      </c>
      <c r="B19" s="68">
        <v>7.2</v>
      </c>
      <c r="C19" s="68" t="s">
        <v>1017</v>
      </c>
      <c r="D19" s="68" t="s">
        <v>947</v>
      </c>
      <c r="E19" s="68"/>
      <c r="F19" s="68">
        <v>1</v>
      </c>
      <c r="G19" s="62">
        <v>304</v>
      </c>
      <c r="H19" s="68"/>
      <c r="I19" s="68"/>
      <c r="J19" s="68" t="s">
        <v>896</v>
      </c>
    </row>
    <row r="20" spans="1:10" x14ac:dyDescent="0.15">
      <c r="A20" s="68">
        <v>18</v>
      </c>
      <c r="B20" s="68">
        <v>8.1</v>
      </c>
      <c r="C20" s="68" t="s">
        <v>1021</v>
      </c>
      <c r="D20" s="68" t="s">
        <v>964</v>
      </c>
      <c r="E20" s="68"/>
      <c r="F20" s="68">
        <v>1</v>
      </c>
      <c r="G20" s="62" t="s">
        <v>965</v>
      </c>
      <c r="H20" s="68">
        <v>0</v>
      </c>
      <c r="I20" s="68"/>
      <c r="J20" s="68" t="s">
        <v>896</v>
      </c>
    </row>
    <row r="21" spans="1:10" x14ac:dyDescent="0.15">
      <c r="A21" s="68">
        <v>19</v>
      </c>
      <c r="B21" s="68">
        <v>3.4</v>
      </c>
      <c r="C21" s="68" t="s">
        <v>998</v>
      </c>
      <c r="D21" s="68" t="s">
        <v>999</v>
      </c>
      <c r="E21" s="68"/>
      <c r="F21" s="68">
        <v>1</v>
      </c>
      <c r="G21" s="62" t="s">
        <v>900</v>
      </c>
      <c r="H21" s="68">
        <v>0.3</v>
      </c>
      <c r="I21" s="68" t="s">
        <v>841</v>
      </c>
      <c r="J21" s="68" t="s">
        <v>896</v>
      </c>
    </row>
    <row r="22" spans="1:10" x14ac:dyDescent="0.15">
      <c r="A22" s="68"/>
      <c r="B22" s="68"/>
      <c r="C22" s="68"/>
      <c r="D22" s="68"/>
      <c r="E22" s="68"/>
      <c r="F22" s="68"/>
      <c r="H22" s="68"/>
      <c r="I22" s="68"/>
      <c r="J22" s="68"/>
    </row>
    <row r="23" spans="1:10" x14ac:dyDescent="0.15">
      <c r="A23" s="68"/>
      <c r="B23" s="68"/>
      <c r="C23" s="68"/>
      <c r="D23" s="68"/>
      <c r="E23" s="68"/>
      <c r="F23" s="68"/>
      <c r="H23" s="68"/>
      <c r="I23" s="68"/>
      <c r="J23" s="68"/>
    </row>
    <row r="24" spans="1:10" x14ac:dyDescent="0.15">
      <c r="A24" s="68"/>
      <c r="B24" s="69"/>
      <c r="C24" s="69"/>
      <c r="D24" s="69"/>
      <c r="E24" s="69"/>
      <c r="F24" s="69"/>
      <c r="G24" s="65"/>
      <c r="H24" s="69"/>
      <c r="I24" s="69"/>
      <c r="J24" s="69"/>
    </row>
    <row r="25" spans="1:10" x14ac:dyDescent="0.15">
      <c r="A25" s="68"/>
      <c r="B25" s="68"/>
      <c r="C25" s="68"/>
      <c r="D25" s="68"/>
      <c r="E25" s="68"/>
      <c r="F25" s="68"/>
      <c r="H25" s="68"/>
      <c r="I25" s="68"/>
      <c r="J25" s="68"/>
    </row>
    <row r="26" spans="1:10" x14ac:dyDescent="0.15">
      <c r="A26" s="68"/>
      <c r="B26" s="68"/>
      <c r="C26" s="68"/>
      <c r="D26" s="68"/>
      <c r="E26" s="68"/>
      <c r="F26" s="68"/>
      <c r="H26" s="68"/>
      <c r="I26" s="68"/>
      <c r="J26" s="68"/>
    </row>
    <row r="27" spans="1:10" x14ac:dyDescent="0.15">
      <c r="A27" s="68"/>
      <c r="B27" s="69"/>
      <c r="C27" s="69"/>
      <c r="D27" s="69"/>
      <c r="E27" s="69"/>
      <c r="F27" s="69"/>
      <c r="G27" s="65"/>
      <c r="H27" s="69"/>
      <c r="I27" s="69"/>
      <c r="J27" s="69"/>
    </row>
    <row r="28" spans="1:10" x14ac:dyDescent="0.15">
      <c r="A28" s="68"/>
      <c r="B28" s="69"/>
      <c r="C28" s="69"/>
      <c r="D28" s="69"/>
      <c r="E28" s="69"/>
      <c r="F28" s="69"/>
      <c r="G28" s="65"/>
      <c r="H28" s="69"/>
      <c r="I28" s="69"/>
      <c r="J28" s="69"/>
    </row>
    <row r="29" spans="1:10" x14ac:dyDescent="0.15">
      <c r="A29" s="68"/>
      <c r="B29" s="68"/>
      <c r="C29" s="68"/>
      <c r="D29" s="68"/>
      <c r="E29" s="68"/>
      <c r="F29" s="68"/>
      <c r="H29" s="68"/>
      <c r="I29" s="68"/>
      <c r="J29" s="68"/>
    </row>
    <row r="30" spans="1:10" x14ac:dyDescent="0.15">
      <c r="A30" s="68"/>
      <c r="B30" s="68"/>
      <c r="C30" s="68"/>
      <c r="D30" s="68"/>
      <c r="E30" s="68"/>
      <c r="F30" s="68"/>
      <c r="H30" s="68"/>
      <c r="I30" s="68"/>
      <c r="J30" s="68"/>
    </row>
    <row r="31" spans="1:10" x14ac:dyDescent="0.15">
      <c r="A31" s="68"/>
      <c r="B31" s="68"/>
      <c r="C31" s="68"/>
      <c r="D31" s="68"/>
      <c r="E31" s="68"/>
      <c r="F31" s="68"/>
      <c r="H31" s="68"/>
      <c r="I31" s="68"/>
      <c r="J31" s="68"/>
    </row>
    <row r="32" spans="1:10" x14ac:dyDescent="0.15">
      <c r="A32" s="68"/>
      <c r="B32" s="68"/>
      <c r="C32" s="68"/>
      <c r="D32" s="68"/>
      <c r="E32" s="68"/>
      <c r="F32" s="68"/>
      <c r="H32" s="68"/>
      <c r="I32" s="68"/>
      <c r="J32" s="68"/>
    </row>
    <row r="33" spans="1:10" x14ac:dyDescent="0.15">
      <c r="A33" s="68"/>
      <c r="B33" s="68"/>
      <c r="C33" s="68"/>
      <c r="D33" s="68"/>
      <c r="E33" s="68"/>
      <c r="F33" s="68"/>
      <c r="H33" s="68"/>
      <c r="I33" s="68"/>
      <c r="J33" s="68"/>
    </row>
    <row r="34" spans="1:10" x14ac:dyDescent="0.15">
      <c r="A34" s="68"/>
      <c r="B34" s="68"/>
      <c r="C34" s="68"/>
      <c r="D34" s="68"/>
      <c r="E34" s="68"/>
      <c r="F34" s="68"/>
      <c r="H34" s="68"/>
      <c r="I34" s="68"/>
      <c r="J34" s="68"/>
    </row>
    <row r="35" spans="1:10" x14ac:dyDescent="0.15">
      <c r="A35" s="68"/>
      <c r="B35" s="68"/>
      <c r="C35" s="68"/>
      <c r="D35" s="68"/>
      <c r="E35" s="68"/>
      <c r="F35" s="68"/>
      <c r="H35" s="68"/>
      <c r="I35" s="68"/>
      <c r="J35" s="68"/>
    </row>
    <row r="36" spans="1:10" x14ac:dyDescent="0.15">
      <c r="A36" s="68"/>
      <c r="B36" s="68"/>
      <c r="C36" s="68"/>
      <c r="D36" s="68"/>
      <c r="E36" s="68"/>
      <c r="F36" s="68"/>
      <c r="H36" s="68"/>
      <c r="I36" s="68"/>
      <c r="J36" s="68"/>
    </row>
    <row r="37" spans="1:10" x14ac:dyDescent="0.15">
      <c r="A37" s="68"/>
      <c r="B37" s="68"/>
      <c r="C37" s="68"/>
      <c r="D37" s="68"/>
      <c r="E37" s="68"/>
      <c r="F37" s="68"/>
      <c r="H37" s="68"/>
      <c r="I37" s="68"/>
      <c r="J37" s="68"/>
    </row>
    <row r="38" spans="1:10" x14ac:dyDescent="0.15">
      <c r="A38" s="68"/>
      <c r="B38" s="68"/>
      <c r="C38" s="68"/>
      <c r="D38" s="68"/>
      <c r="E38" s="68"/>
      <c r="F38" s="68"/>
      <c r="H38" s="68"/>
      <c r="I38" s="68"/>
      <c r="J38" s="68"/>
    </row>
    <row r="39" spans="1:10" x14ac:dyDescent="0.15">
      <c r="A39" s="68"/>
      <c r="B39" s="68"/>
      <c r="C39" s="68"/>
      <c r="D39" s="68"/>
      <c r="E39" s="68"/>
      <c r="F39" s="68"/>
      <c r="H39" s="68"/>
      <c r="I39" s="68"/>
      <c r="J39" s="68"/>
    </row>
    <row r="40" spans="1:10" x14ac:dyDescent="0.15">
      <c r="A40" s="68"/>
      <c r="B40" s="68"/>
      <c r="C40" s="68"/>
      <c r="D40" s="68"/>
      <c r="E40" s="68"/>
      <c r="F40" s="68"/>
      <c r="H40" s="68"/>
      <c r="I40" s="68"/>
      <c r="J40" s="68"/>
    </row>
    <row r="41" spans="1:10" x14ac:dyDescent="0.15">
      <c r="A41" s="68"/>
      <c r="B41" s="68"/>
      <c r="C41" s="68"/>
      <c r="D41" s="68"/>
      <c r="E41" s="68"/>
      <c r="F41" s="68"/>
      <c r="H41" s="68"/>
      <c r="I41" s="68"/>
      <c r="J41" s="68"/>
    </row>
    <row r="42" spans="1:10" x14ac:dyDescent="0.15">
      <c r="A42" s="68"/>
      <c r="B42" s="69"/>
      <c r="C42" s="69"/>
      <c r="D42" s="69"/>
      <c r="E42" s="69"/>
      <c r="F42" s="69"/>
      <c r="G42" s="65"/>
      <c r="H42" s="69"/>
      <c r="I42" s="69"/>
      <c r="J42" s="69"/>
    </row>
    <row r="43" spans="1:10" x14ac:dyDescent="0.15">
      <c r="A43" s="68"/>
      <c r="B43" s="68"/>
      <c r="C43" s="68"/>
      <c r="D43" s="68"/>
      <c r="E43" s="68"/>
      <c r="F43" s="68"/>
      <c r="H43" s="68"/>
      <c r="I43" s="68"/>
      <c r="J43" s="68"/>
    </row>
    <row r="44" spans="1:10" x14ac:dyDescent="0.15">
      <c r="A44" s="68"/>
      <c r="B44" s="68"/>
      <c r="C44" s="68"/>
      <c r="D44" s="68"/>
      <c r="E44" s="68"/>
      <c r="F44" s="68"/>
      <c r="H44" s="68"/>
      <c r="I44" s="68"/>
      <c r="J44" s="68"/>
    </row>
    <row r="45" spans="1:10" x14ac:dyDescent="0.15">
      <c r="A45" s="68"/>
      <c r="B45" s="68"/>
      <c r="C45" s="68"/>
      <c r="D45" s="68"/>
      <c r="E45" s="68"/>
      <c r="F45" s="68"/>
      <c r="H45" s="68"/>
      <c r="I45" s="68"/>
      <c r="J45" s="68"/>
    </row>
    <row r="46" spans="1:10" x14ac:dyDescent="0.15">
      <c r="A46" s="68"/>
      <c r="B46" s="68"/>
      <c r="C46" s="68"/>
      <c r="D46" s="68"/>
      <c r="E46" s="68"/>
      <c r="F46" s="68"/>
      <c r="H46" s="68"/>
      <c r="I46" s="68"/>
      <c r="J46" s="68"/>
    </row>
    <row r="47" spans="1:10" x14ac:dyDescent="0.15">
      <c r="A47" s="68"/>
      <c r="B47" s="68"/>
      <c r="C47" s="68"/>
      <c r="D47" s="68"/>
      <c r="E47" s="68"/>
      <c r="F47" s="68"/>
      <c r="H47" s="68"/>
      <c r="I47" s="68"/>
      <c r="J47" s="68"/>
    </row>
    <row r="48" spans="1:10" x14ac:dyDescent="0.15">
      <c r="A48" s="68"/>
      <c r="B48" s="68"/>
      <c r="C48" s="68"/>
      <c r="D48" s="68"/>
      <c r="E48" s="68"/>
      <c r="F48" s="68"/>
      <c r="H48" s="68"/>
      <c r="I48" s="68"/>
      <c r="J48" s="68"/>
    </row>
    <row r="49" spans="1:10" x14ac:dyDescent="0.15">
      <c r="A49" s="68"/>
      <c r="B49" s="68"/>
      <c r="C49" s="68"/>
      <c r="D49" s="68"/>
      <c r="E49" s="68"/>
      <c r="F49" s="68"/>
      <c r="H49" s="68"/>
      <c r="I49" s="68"/>
      <c r="J49" s="68"/>
    </row>
    <row r="50" spans="1:10" x14ac:dyDescent="0.15">
      <c r="A50" s="68"/>
      <c r="B50" s="68"/>
      <c r="C50" s="68"/>
      <c r="D50" s="68"/>
      <c r="E50" s="68"/>
      <c r="F50" s="68"/>
      <c r="H50" s="68"/>
      <c r="I50" s="68"/>
      <c r="J50" s="68"/>
    </row>
    <row r="51" spans="1:10" x14ac:dyDescent="0.15">
      <c r="A51" s="68"/>
      <c r="B51" s="68"/>
      <c r="C51" s="68"/>
      <c r="D51" s="68"/>
      <c r="E51" s="68"/>
      <c r="F51" s="68"/>
      <c r="H51" s="68"/>
      <c r="I51" s="68"/>
      <c r="J51" s="68"/>
    </row>
    <row r="52" spans="1:10" x14ac:dyDescent="0.15">
      <c r="A52" s="68"/>
      <c r="B52" s="68"/>
      <c r="C52" s="68"/>
      <c r="D52" s="68"/>
      <c r="E52" s="68"/>
      <c r="F52" s="68"/>
      <c r="H52" s="68"/>
      <c r="I52" s="68"/>
      <c r="J52" s="68"/>
    </row>
    <row r="53" spans="1:10" x14ac:dyDescent="0.15">
      <c r="A53" s="68"/>
      <c r="B53" s="68"/>
      <c r="C53" s="68"/>
      <c r="D53" s="68"/>
      <c r="E53" s="68"/>
      <c r="F53" s="68"/>
      <c r="H53" s="68"/>
      <c r="I53" s="68"/>
      <c r="J53" s="68"/>
    </row>
    <row r="54" spans="1:10" x14ac:dyDescent="0.15">
      <c r="A54" s="68"/>
      <c r="B54" s="68"/>
      <c r="C54" s="68"/>
      <c r="D54" s="68"/>
      <c r="E54" s="68"/>
      <c r="F54" s="68"/>
      <c r="H54" s="68"/>
      <c r="I54" s="68"/>
      <c r="J54" s="68"/>
    </row>
    <row r="55" spans="1:10" x14ac:dyDescent="0.15">
      <c r="A55" s="68"/>
      <c r="B55" s="68"/>
      <c r="C55" s="68"/>
      <c r="D55" s="68"/>
      <c r="E55" s="68"/>
      <c r="F55" s="68"/>
      <c r="H55" s="68"/>
      <c r="I55" s="68"/>
      <c r="J55" s="68"/>
    </row>
    <row r="56" spans="1:10" x14ac:dyDescent="0.15">
      <c r="A56" s="68"/>
      <c r="B56" s="68"/>
      <c r="C56" s="68"/>
      <c r="D56" s="68"/>
      <c r="E56" s="68"/>
      <c r="F56" s="68"/>
      <c r="H56" s="68"/>
      <c r="I56" s="68"/>
      <c r="J56" s="68"/>
    </row>
    <row r="57" spans="1:10" x14ac:dyDescent="0.15">
      <c r="A57" s="68"/>
      <c r="B57" s="68"/>
      <c r="C57" s="68"/>
      <c r="D57" s="68"/>
      <c r="E57" s="68"/>
      <c r="F57" s="68"/>
      <c r="H57" s="68"/>
      <c r="I57" s="68"/>
      <c r="J57" s="68"/>
    </row>
    <row r="58" spans="1:10" x14ac:dyDescent="0.15">
      <c r="A58" s="68"/>
      <c r="B58" s="68"/>
      <c r="C58" s="68"/>
      <c r="D58" s="68"/>
      <c r="E58" s="68"/>
      <c r="F58" s="68"/>
      <c r="H58" s="68"/>
      <c r="I58" s="68"/>
      <c r="J58" s="68"/>
    </row>
    <row r="59" spans="1:10" x14ac:dyDescent="0.15">
      <c r="A59" s="68"/>
      <c r="B59" s="68"/>
      <c r="C59" s="68"/>
      <c r="D59" s="68"/>
      <c r="E59" s="68"/>
      <c r="F59" s="68"/>
      <c r="H59" s="68"/>
      <c r="I59" s="68"/>
      <c r="J59" s="68"/>
    </row>
    <row r="60" spans="1:10" x14ac:dyDescent="0.15">
      <c r="A60" s="57"/>
      <c r="B60" s="57"/>
      <c r="C60" s="57"/>
      <c r="D60" s="57"/>
      <c r="E60" s="57"/>
      <c r="F60" s="57"/>
      <c r="H60" s="57"/>
      <c r="I60" s="57"/>
      <c r="J60" s="57"/>
    </row>
    <row r="61" spans="1:10" x14ac:dyDescent="0.15">
      <c r="A61" s="57"/>
      <c r="B61" s="57"/>
      <c r="C61" s="57"/>
      <c r="D61" s="57"/>
      <c r="E61" s="57"/>
      <c r="F61" s="57"/>
      <c r="H61" s="57"/>
      <c r="I61" s="57"/>
      <c r="J61" s="57"/>
    </row>
    <row r="62" spans="1:10" x14ac:dyDescent="0.15">
      <c r="A62" s="57"/>
      <c r="B62" s="57"/>
      <c r="C62" s="57"/>
      <c r="D62" s="57"/>
      <c r="E62" s="57"/>
      <c r="F62" s="57"/>
      <c r="H62" s="57"/>
      <c r="I62" s="57"/>
      <c r="J62" s="57"/>
    </row>
    <row r="63" spans="1:10" x14ac:dyDescent="0.15">
      <c r="A63" s="57"/>
      <c r="B63" s="58"/>
      <c r="C63" s="58"/>
      <c r="D63" s="58"/>
      <c r="E63" s="58"/>
      <c r="F63" s="58"/>
      <c r="G63" s="65"/>
      <c r="H63" s="58"/>
      <c r="I63" s="58"/>
      <c r="J63" s="58"/>
    </row>
    <row r="64" spans="1:10" x14ac:dyDescent="0.15">
      <c r="A64" s="57"/>
      <c r="B64" s="57"/>
      <c r="C64" s="57"/>
      <c r="D64" s="57"/>
      <c r="E64" s="57"/>
      <c r="F64" s="57"/>
      <c r="H64" s="57"/>
      <c r="I64" s="57"/>
      <c r="J64" s="57"/>
    </row>
    <row r="65" spans="1:10" x14ac:dyDescent="0.15">
      <c r="A65" s="57"/>
      <c r="B65" s="57"/>
      <c r="C65" s="57"/>
      <c r="D65" s="57"/>
      <c r="E65" s="57"/>
      <c r="F65" s="57"/>
      <c r="H65" s="57"/>
      <c r="I65" s="57"/>
      <c r="J65" s="57"/>
    </row>
    <row r="66" spans="1:10" x14ac:dyDescent="0.15">
      <c r="A66" s="57"/>
      <c r="B66" s="57"/>
      <c r="C66" s="57"/>
      <c r="D66" s="57"/>
      <c r="E66" s="57"/>
      <c r="F66" s="57"/>
      <c r="H66" s="57"/>
      <c r="I66" s="57"/>
      <c r="J66" s="57"/>
    </row>
    <row r="67" spans="1:10" x14ac:dyDescent="0.15">
      <c r="A67" s="57"/>
      <c r="B67" s="57"/>
      <c r="C67" s="57"/>
      <c r="D67" s="57"/>
      <c r="E67" s="57"/>
      <c r="F67" s="57"/>
      <c r="H67" s="57"/>
      <c r="I67" s="57"/>
      <c r="J67" s="57"/>
    </row>
    <row r="68" spans="1:10" x14ac:dyDescent="0.15">
      <c r="A68" s="57"/>
      <c r="B68" s="57"/>
      <c r="C68" s="57"/>
      <c r="D68" s="57"/>
      <c r="E68" s="57"/>
      <c r="F68" s="57"/>
      <c r="H68" s="57"/>
      <c r="I68" s="57"/>
      <c r="J68" s="57"/>
    </row>
    <row r="69" spans="1:10" x14ac:dyDescent="0.15">
      <c r="A69" s="57"/>
      <c r="B69" s="57"/>
      <c r="C69" s="57"/>
      <c r="D69" s="57"/>
      <c r="E69" s="57"/>
      <c r="F69" s="57"/>
      <c r="H69" s="57"/>
      <c r="I69" s="57"/>
      <c r="J69" s="57"/>
    </row>
    <row r="70" spans="1:10" x14ac:dyDescent="0.15">
      <c r="A70" s="57"/>
      <c r="B70" s="57"/>
      <c r="C70" s="57"/>
      <c r="D70" s="57"/>
      <c r="E70" s="57"/>
      <c r="F70" s="57"/>
      <c r="H70" s="57"/>
      <c r="I70" s="57"/>
      <c r="J70" s="57"/>
    </row>
    <row r="71" spans="1:10" x14ac:dyDescent="0.15">
      <c r="A71" s="57"/>
      <c r="B71" s="57"/>
      <c r="C71" s="57"/>
      <c r="D71" s="57"/>
      <c r="E71" s="57"/>
      <c r="F71" s="57"/>
      <c r="H71" s="57"/>
      <c r="I71" s="57"/>
      <c r="J71" s="57"/>
    </row>
    <row r="72" spans="1:10" x14ac:dyDescent="0.15">
      <c r="A72" s="57"/>
      <c r="B72" s="57"/>
      <c r="C72" s="57"/>
      <c r="D72" s="57"/>
      <c r="E72" s="57"/>
      <c r="F72" s="57"/>
      <c r="H72" s="57"/>
      <c r="I72" s="57"/>
      <c r="J72" s="57"/>
    </row>
    <row r="73" spans="1:10" x14ac:dyDescent="0.15">
      <c r="A73" s="57"/>
      <c r="B73" s="57"/>
      <c r="C73" s="57"/>
      <c r="D73" s="57"/>
      <c r="E73" s="57"/>
      <c r="F73" s="57"/>
      <c r="H73" s="57"/>
      <c r="I73" s="57"/>
      <c r="J73" s="57"/>
    </row>
    <row r="74" spans="1:10" x14ac:dyDescent="0.15">
      <c r="A74" s="57"/>
      <c r="B74" s="58"/>
      <c r="C74" s="58"/>
      <c r="D74" s="58"/>
      <c r="E74" s="58"/>
      <c r="F74" s="58"/>
      <c r="G74" s="65"/>
      <c r="H74" s="58"/>
      <c r="I74" s="58"/>
      <c r="J74" s="58"/>
    </row>
    <row r="75" spans="1:10" x14ac:dyDescent="0.15">
      <c r="A75" s="57"/>
      <c r="B75" s="58"/>
      <c r="C75" s="58"/>
      <c r="D75" s="58"/>
      <c r="E75" s="58"/>
      <c r="F75" s="58"/>
      <c r="G75" s="65"/>
      <c r="H75" s="58"/>
      <c r="I75" s="58"/>
      <c r="J75" s="58"/>
    </row>
    <row r="76" spans="1:10" x14ac:dyDescent="0.15">
      <c r="A76" s="57"/>
      <c r="B76" s="58"/>
      <c r="C76" s="58"/>
      <c r="D76" s="58"/>
      <c r="E76" s="58"/>
      <c r="F76" s="58"/>
      <c r="G76" s="65"/>
      <c r="H76" s="58"/>
      <c r="I76" s="58"/>
      <c r="J76" s="58"/>
    </row>
    <row r="77" spans="1:10" x14ac:dyDescent="0.15">
      <c r="A77" s="57"/>
      <c r="B77" s="57"/>
      <c r="C77" s="57"/>
      <c r="D77" s="57"/>
      <c r="E77" s="57"/>
      <c r="F77" s="57"/>
      <c r="H77" s="57"/>
      <c r="I77" s="57"/>
      <c r="J77" s="57"/>
    </row>
    <row r="78" spans="1:10" x14ac:dyDescent="0.15">
      <c r="A78" s="57"/>
      <c r="B78" s="58"/>
      <c r="C78" s="58"/>
      <c r="D78" s="58"/>
      <c r="E78" s="58"/>
      <c r="F78" s="58"/>
      <c r="G78" s="65"/>
      <c r="H78" s="58"/>
      <c r="I78" s="58"/>
      <c r="J78" s="58"/>
    </row>
    <row r="79" spans="1:10" x14ac:dyDescent="0.15">
      <c r="A79" s="57"/>
      <c r="B79" s="57"/>
      <c r="C79" s="57"/>
      <c r="D79" s="57"/>
      <c r="E79" s="57"/>
      <c r="F79" s="57"/>
      <c r="H79" s="57"/>
      <c r="I79" s="57"/>
      <c r="J79" s="57"/>
    </row>
    <row r="80" spans="1:10" x14ac:dyDescent="0.15">
      <c r="A80" s="57"/>
      <c r="B80" s="57"/>
      <c r="C80" s="57"/>
      <c r="D80" s="57"/>
      <c r="E80" s="57"/>
      <c r="F80" s="57"/>
      <c r="H80" s="57"/>
      <c r="I80" s="57"/>
      <c r="J80" s="57"/>
    </row>
    <row r="81" spans="1:10" x14ac:dyDescent="0.15">
      <c r="A81" s="57"/>
      <c r="B81" s="57"/>
      <c r="C81" s="57"/>
      <c r="D81" s="57"/>
      <c r="E81" s="57"/>
      <c r="F81" s="57"/>
      <c r="H81" s="57"/>
      <c r="I81" s="57"/>
      <c r="J81" s="57"/>
    </row>
    <row r="82" spans="1:10" x14ac:dyDescent="0.15">
      <c r="A82" s="57"/>
      <c r="B82" s="57"/>
      <c r="C82" s="57"/>
      <c r="D82" s="57"/>
      <c r="E82" s="57"/>
      <c r="F82" s="57"/>
      <c r="H82" s="57"/>
      <c r="I82" s="57"/>
      <c r="J82" s="57"/>
    </row>
    <row r="83" spans="1:10" x14ac:dyDescent="0.15">
      <c r="A83" s="57"/>
      <c r="B83" s="57"/>
      <c r="C83" s="57"/>
      <c r="D83" s="57"/>
      <c r="E83" s="57"/>
      <c r="F83" s="57"/>
      <c r="H83" s="57"/>
      <c r="I83" s="57"/>
      <c r="J83" s="57"/>
    </row>
    <row r="84" spans="1:10" x14ac:dyDescent="0.15">
      <c r="A84" s="57"/>
      <c r="B84" s="58"/>
      <c r="C84" s="58"/>
      <c r="D84" s="58"/>
      <c r="E84" s="58"/>
      <c r="F84" s="58"/>
      <c r="G84" s="65"/>
      <c r="H84" s="58"/>
      <c r="I84" s="58"/>
      <c r="J84" s="58"/>
    </row>
    <row r="85" spans="1:10" x14ac:dyDescent="0.15">
      <c r="A85" s="57"/>
      <c r="B85" s="57"/>
      <c r="C85" s="57"/>
      <c r="D85" s="57"/>
      <c r="E85" s="57"/>
      <c r="F85" s="57"/>
      <c r="H85" s="57"/>
      <c r="I85" s="57"/>
      <c r="J85" s="57"/>
    </row>
    <row r="86" spans="1:10" x14ac:dyDescent="0.15">
      <c r="A86" s="57"/>
      <c r="B86" s="57"/>
      <c r="C86" s="57"/>
      <c r="D86" s="57"/>
      <c r="E86" s="57"/>
      <c r="F86" s="57"/>
      <c r="H86" s="57"/>
      <c r="I86" s="57"/>
      <c r="J86" s="57"/>
    </row>
    <row r="87" spans="1:10" x14ac:dyDescent="0.15">
      <c r="A87" s="57"/>
      <c r="B87" s="57"/>
      <c r="C87" s="57"/>
      <c r="D87" s="57"/>
      <c r="E87" s="57"/>
      <c r="F87" s="57"/>
      <c r="H87" s="57"/>
      <c r="I87" s="57"/>
      <c r="J87" s="57"/>
    </row>
    <row r="88" spans="1:10" x14ac:dyDescent="0.15">
      <c r="A88" s="57"/>
      <c r="B88" s="57"/>
      <c r="C88" s="57"/>
      <c r="D88" s="57"/>
      <c r="E88" s="57"/>
      <c r="F88" s="57"/>
      <c r="H88" s="57"/>
      <c r="I88" s="57"/>
      <c r="J88" s="57"/>
    </row>
    <row r="89" spans="1:10" x14ac:dyDescent="0.15">
      <c r="A89" s="57"/>
      <c r="B89" s="57"/>
      <c r="C89" s="57"/>
      <c r="D89" s="57"/>
      <c r="E89" s="57"/>
      <c r="F89" s="57"/>
      <c r="H89" s="57"/>
      <c r="I89" s="57"/>
      <c r="J89" s="57"/>
    </row>
    <row r="90" spans="1:10" x14ac:dyDescent="0.15">
      <c r="A90" s="57"/>
      <c r="B90" s="57"/>
      <c r="C90" s="57"/>
      <c r="D90" s="57"/>
      <c r="E90" s="57"/>
      <c r="F90" s="57"/>
      <c r="H90" s="57"/>
      <c r="I90" s="57"/>
      <c r="J90" s="57"/>
    </row>
    <row r="91" spans="1:10" x14ac:dyDescent="0.15">
      <c r="A91" s="57"/>
      <c r="B91" s="58"/>
      <c r="C91" s="58"/>
      <c r="D91" s="58"/>
      <c r="E91" s="58"/>
      <c r="F91" s="58"/>
      <c r="G91" s="65"/>
      <c r="H91" s="58"/>
      <c r="I91" s="58"/>
      <c r="J91" s="58"/>
    </row>
    <row r="92" spans="1:10" x14ac:dyDescent="0.15">
      <c r="A92" s="57"/>
      <c r="B92" s="57"/>
      <c r="C92" s="57"/>
      <c r="D92" s="57"/>
      <c r="E92" s="57"/>
      <c r="F92" s="57"/>
      <c r="H92" s="57"/>
      <c r="I92" s="57"/>
      <c r="J92" s="57"/>
    </row>
    <row r="93" spans="1:10" x14ac:dyDescent="0.15">
      <c r="A93" s="57"/>
      <c r="B93" s="57"/>
      <c r="C93" s="57"/>
      <c r="D93" s="57"/>
      <c r="E93" s="57"/>
      <c r="F93" s="57"/>
      <c r="H93" s="57"/>
      <c r="I93" s="57"/>
      <c r="J93" s="57"/>
    </row>
    <row r="94" spans="1:10" x14ac:dyDescent="0.15">
      <c r="A94" s="57"/>
      <c r="B94" s="58"/>
      <c r="C94" s="58"/>
      <c r="D94" s="58"/>
      <c r="E94" s="58"/>
      <c r="F94" s="58"/>
      <c r="G94" s="65"/>
      <c r="H94" s="58"/>
      <c r="I94" s="58"/>
      <c r="J94" s="58"/>
    </row>
    <row r="95" spans="1:10" x14ac:dyDescent="0.15">
      <c r="A95" s="57"/>
      <c r="B95" s="58"/>
      <c r="C95" s="58"/>
      <c r="D95" s="58"/>
      <c r="E95" s="58"/>
      <c r="F95" s="58"/>
      <c r="G95" s="65"/>
      <c r="H95" s="58"/>
      <c r="I95" s="58"/>
      <c r="J95" s="58"/>
    </row>
    <row r="96" spans="1:10" x14ac:dyDescent="0.15">
      <c r="A96" s="57"/>
      <c r="B96" s="57"/>
      <c r="C96" s="57"/>
      <c r="D96" s="57"/>
      <c r="E96" s="57"/>
      <c r="F96" s="57"/>
      <c r="H96" s="57"/>
      <c r="I96" s="57"/>
      <c r="J96" s="57"/>
    </row>
    <row r="97" spans="1:10" x14ac:dyDescent="0.15">
      <c r="A97" s="57"/>
      <c r="B97" s="57"/>
      <c r="C97" s="57"/>
      <c r="D97" s="57"/>
      <c r="E97" s="57"/>
      <c r="F97" s="57"/>
      <c r="H97" s="57"/>
      <c r="I97" s="57"/>
      <c r="J97" s="57"/>
    </row>
    <row r="98" spans="1:10" x14ac:dyDescent="0.15">
      <c r="A98" s="57"/>
      <c r="B98" s="57"/>
      <c r="C98" s="57"/>
      <c r="D98" s="57"/>
      <c r="E98" s="57"/>
      <c r="F98" s="57"/>
      <c r="H98" s="57"/>
      <c r="I98" s="57"/>
      <c r="J98" s="57"/>
    </row>
    <row r="99" spans="1:10" x14ac:dyDescent="0.15">
      <c r="B99" s="23"/>
      <c r="C99" s="23"/>
      <c r="D99" s="23"/>
      <c r="E99" s="23"/>
      <c r="F99" s="23"/>
      <c r="G99" s="65"/>
      <c r="H99" s="23"/>
      <c r="I99" s="23"/>
      <c r="J99" s="23"/>
    </row>
    <row r="100" spans="1:10" x14ac:dyDescent="0.15">
      <c r="B100" s="23"/>
      <c r="C100" s="23"/>
      <c r="D100" s="23"/>
      <c r="E100" s="23"/>
      <c r="F100" s="23"/>
      <c r="G100" s="65"/>
      <c r="H100" s="23"/>
      <c r="I100" s="23"/>
      <c r="J100" s="23"/>
    </row>
  </sheetData>
  <autoFilter ref="B2:I2"/>
  <sortState ref="A3:J21">
    <sortCondition ref="C1:C1048576"/>
    <sortCondition ref="B1:B1048576"/>
  </sortState>
  <mergeCells count="1">
    <mergeCell ref="A1:I1"/>
  </mergeCells>
  <phoneticPr fontId="1" type="noConversion"/>
  <conditionalFormatting sqref="C1:C1048576">
    <cfRule type="duplicateValues" dxfId="0" priority="1"/>
  </conditionalFormatting>
  <dataValidations disablePrompts="1" count="1">
    <dataValidation type="list" allowBlank="1" showInputMessage="1" showErrorMessage="1" sqref="P2">
      <formula1>"是,否"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3.5" x14ac:dyDescent="0.15"/>
  <cols>
    <col min="1" max="1" width="3.25" style="20" bestFit="1" customWidth="1"/>
    <col min="2" max="2" width="7.125" style="41" customWidth="1"/>
    <col min="3" max="3" width="18.75" style="20" customWidth="1"/>
    <col min="4" max="4" width="19.625" style="20" customWidth="1"/>
    <col min="5" max="5" width="20.125" style="20" customWidth="1"/>
    <col min="6" max="6" width="4.5" style="20" customWidth="1"/>
    <col min="7" max="7" width="4.75" style="20" bestFit="1" customWidth="1"/>
    <col min="8" max="8" width="4.75" style="20" customWidth="1"/>
    <col min="9" max="9" width="8.625" style="20" customWidth="1"/>
    <col min="10" max="10" width="9" style="39" customWidth="1"/>
    <col min="11" max="16384" width="9" style="20"/>
  </cols>
  <sheetData>
    <row r="1" spans="1:10" s="7" customFormat="1" ht="18.75" x14ac:dyDescent="0.15">
      <c r="A1" s="109" t="s">
        <v>977</v>
      </c>
      <c r="B1" s="109"/>
      <c r="C1" s="109"/>
      <c r="D1" s="109"/>
      <c r="E1" s="109"/>
      <c r="F1" s="109"/>
      <c r="G1" s="109"/>
      <c r="H1" s="109"/>
      <c r="I1" s="109"/>
      <c r="J1" s="37"/>
    </row>
    <row r="2" spans="1:10" s="17" customFormat="1" ht="26.25" customHeight="1" x14ac:dyDescent="0.15">
      <c r="A2" s="14" t="s">
        <v>18</v>
      </c>
      <c r="B2" s="15" t="s">
        <v>37</v>
      </c>
      <c r="C2" s="16" t="s">
        <v>19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822</v>
      </c>
      <c r="I2" s="16" t="s">
        <v>2</v>
      </c>
      <c r="J2" s="38" t="s">
        <v>24</v>
      </c>
    </row>
    <row r="3" spans="1:10" s="24" customFormat="1" x14ac:dyDescent="0.15">
      <c r="A3" s="68"/>
      <c r="B3" s="71"/>
      <c r="C3" s="69"/>
      <c r="D3" s="69"/>
      <c r="E3" s="69"/>
      <c r="F3" s="69"/>
      <c r="G3" s="69"/>
      <c r="H3" s="69"/>
      <c r="I3" s="69"/>
      <c r="J3" s="69"/>
    </row>
    <row r="4" spans="1:10" s="24" customFormat="1" x14ac:dyDescent="0.15">
      <c r="A4" s="68"/>
      <c r="B4" s="71"/>
      <c r="C4" s="69"/>
      <c r="D4" s="69"/>
      <c r="E4" s="69"/>
      <c r="F4" s="69"/>
      <c r="G4" s="69"/>
      <c r="H4" s="69"/>
      <c r="I4" s="69"/>
      <c r="J4" s="69"/>
    </row>
    <row r="5" spans="1:10" s="24" customFormat="1" x14ac:dyDescent="0.15">
      <c r="A5" s="68"/>
      <c r="B5" s="70"/>
      <c r="C5" s="68"/>
      <c r="D5" s="68"/>
      <c r="E5" s="68"/>
      <c r="F5" s="68"/>
      <c r="G5" s="68"/>
      <c r="H5" s="68"/>
      <c r="I5" s="68"/>
      <c r="J5" s="68"/>
    </row>
    <row r="6" spans="1:10" s="24" customFormat="1" x14ac:dyDescent="0.15">
      <c r="A6" s="68"/>
      <c r="B6" s="70"/>
      <c r="C6" s="68"/>
      <c r="D6" s="68"/>
      <c r="E6" s="68"/>
      <c r="F6" s="68"/>
      <c r="G6" s="68"/>
      <c r="H6" s="68"/>
      <c r="I6" s="68"/>
      <c r="J6" s="68"/>
    </row>
    <row r="7" spans="1:10" s="24" customFormat="1" x14ac:dyDescent="0.15">
      <c r="A7" s="68"/>
      <c r="B7" s="70"/>
      <c r="C7" s="68"/>
      <c r="D7" s="68"/>
      <c r="E7" s="68"/>
      <c r="F7" s="68"/>
      <c r="G7" s="68"/>
      <c r="H7" s="68"/>
      <c r="I7" s="68"/>
      <c r="J7" s="68"/>
    </row>
    <row r="8" spans="1:10" s="24" customFormat="1" x14ac:dyDescent="0.15">
      <c r="A8" s="68"/>
      <c r="B8" s="70"/>
      <c r="C8" s="68"/>
      <c r="D8" s="68"/>
      <c r="E8" s="68"/>
      <c r="F8" s="68"/>
      <c r="G8" s="68"/>
      <c r="H8" s="68"/>
      <c r="I8" s="68"/>
      <c r="J8" s="68"/>
    </row>
    <row r="9" spans="1:10" s="24" customFormat="1" x14ac:dyDescent="0.15">
      <c r="A9" s="57"/>
      <c r="B9" s="60"/>
      <c r="C9" s="58"/>
      <c r="D9" s="58"/>
      <c r="E9" s="58"/>
      <c r="F9" s="58"/>
      <c r="G9" s="58"/>
      <c r="H9" s="58"/>
      <c r="I9" s="58"/>
      <c r="J9" s="58"/>
    </row>
    <row r="10" spans="1:10" s="24" customFormat="1" x14ac:dyDescent="0.15">
      <c r="A10" s="57"/>
      <c r="B10" s="59"/>
      <c r="C10" s="57"/>
      <c r="D10" s="57"/>
      <c r="E10" s="57"/>
      <c r="F10" s="57"/>
      <c r="G10" s="57"/>
      <c r="H10" s="57"/>
      <c r="I10" s="57"/>
      <c r="J10" s="57"/>
    </row>
    <row r="11" spans="1:10" s="24" customFormat="1" x14ac:dyDescent="0.15">
      <c r="A11" s="57"/>
      <c r="B11" s="60"/>
      <c r="C11" s="58"/>
      <c r="D11" s="58"/>
      <c r="E11" s="58"/>
      <c r="F11" s="58"/>
      <c r="G11" s="58"/>
      <c r="H11" s="58"/>
      <c r="I11" s="58"/>
      <c r="J11" s="58"/>
    </row>
    <row r="12" spans="1:10" s="24" customFormat="1" x14ac:dyDescent="0.15">
      <c r="A12" s="57"/>
      <c r="B12" s="59"/>
      <c r="C12" s="57"/>
      <c r="D12" s="57"/>
      <c r="E12" s="57"/>
      <c r="F12" s="57"/>
      <c r="G12" s="57"/>
      <c r="H12" s="57"/>
      <c r="I12" s="57"/>
      <c r="J12" s="57"/>
    </row>
    <row r="13" spans="1:10" s="24" customFormat="1" x14ac:dyDescent="0.15">
      <c r="A13" s="57"/>
      <c r="B13" s="59"/>
      <c r="C13" s="57"/>
      <c r="D13" s="57"/>
      <c r="E13" s="57"/>
      <c r="F13" s="57"/>
      <c r="G13" s="57"/>
      <c r="H13" s="57"/>
      <c r="I13" s="57"/>
      <c r="J13" s="57"/>
    </row>
    <row r="14" spans="1:10" s="24" customFormat="1" x14ac:dyDescent="0.15">
      <c r="A14" s="57"/>
      <c r="B14" s="60"/>
      <c r="C14" s="58"/>
      <c r="D14" s="58"/>
      <c r="E14" s="58"/>
      <c r="F14" s="58"/>
      <c r="G14" s="58"/>
      <c r="H14" s="58"/>
      <c r="I14" s="58"/>
      <c r="J14" s="58"/>
    </row>
    <row r="15" spans="1:10" s="24" customFormat="1" x14ac:dyDescent="0.15">
      <c r="A15" s="57"/>
      <c r="B15" s="60"/>
      <c r="C15" s="58"/>
      <c r="D15" s="58"/>
      <c r="E15" s="58"/>
      <c r="F15" s="58"/>
      <c r="G15" s="58"/>
      <c r="H15" s="58"/>
      <c r="I15" s="58"/>
      <c r="J15" s="58"/>
    </row>
    <row r="16" spans="1:10" s="24" customFormat="1" x14ac:dyDescent="0.15">
      <c r="A16" s="57"/>
      <c r="B16" s="59"/>
      <c r="C16" s="57"/>
      <c r="D16" s="57"/>
      <c r="E16" s="57"/>
      <c r="F16" s="57"/>
      <c r="G16" s="57"/>
      <c r="H16" s="57"/>
      <c r="I16" s="57"/>
      <c r="J16" s="57"/>
    </row>
    <row r="17" spans="1:10" s="24" customFormat="1" x14ac:dyDescent="0.15">
      <c r="A17" s="57"/>
      <c r="B17" s="59"/>
      <c r="C17" s="57"/>
      <c r="D17" s="57"/>
      <c r="E17" s="57"/>
      <c r="F17" s="57"/>
      <c r="G17" s="57"/>
      <c r="H17" s="57"/>
      <c r="I17" s="57"/>
      <c r="J17" s="57"/>
    </row>
    <row r="18" spans="1:10" s="24" customFormat="1" x14ac:dyDescent="0.15">
      <c r="A18" s="57"/>
      <c r="B18" s="59"/>
      <c r="C18" s="57"/>
      <c r="D18" s="57"/>
      <c r="E18" s="57"/>
      <c r="F18" s="57"/>
      <c r="G18" s="57"/>
      <c r="H18" s="57"/>
      <c r="I18" s="57"/>
      <c r="J18" s="57"/>
    </row>
    <row r="19" spans="1:10" x14ac:dyDescent="0.15">
      <c r="A19" s="57"/>
      <c r="B19" s="59"/>
      <c r="C19" s="57"/>
      <c r="D19" s="57"/>
      <c r="E19" s="57"/>
      <c r="F19" s="57"/>
      <c r="G19" s="57"/>
      <c r="H19" s="57"/>
      <c r="I19" s="57"/>
      <c r="J19" s="57"/>
    </row>
    <row r="20" spans="1:10" x14ac:dyDescent="0.15">
      <c r="A20" s="57"/>
      <c r="B20" s="60"/>
      <c r="C20" s="58"/>
      <c r="D20" s="58"/>
      <c r="E20" s="58"/>
      <c r="F20" s="58"/>
      <c r="G20" s="58"/>
      <c r="H20" s="58"/>
      <c r="I20" s="58"/>
      <c r="J20" s="58"/>
    </row>
    <row r="21" spans="1:10" x14ac:dyDescent="0.15">
      <c r="A21" s="57"/>
      <c r="B21" s="59"/>
      <c r="C21" s="57"/>
      <c r="D21" s="57"/>
      <c r="E21" s="57"/>
      <c r="F21" s="57"/>
      <c r="G21" s="57"/>
      <c r="H21" s="57"/>
      <c r="I21" s="57"/>
      <c r="J21" s="57"/>
    </row>
    <row r="22" spans="1:10" x14ac:dyDescent="0.15">
      <c r="A22" s="57"/>
      <c r="B22" s="60"/>
      <c r="C22" s="58"/>
      <c r="D22" s="58"/>
      <c r="E22" s="58"/>
      <c r="F22" s="58"/>
      <c r="G22" s="58"/>
      <c r="H22" s="58"/>
      <c r="I22" s="58"/>
      <c r="J22" s="58"/>
    </row>
    <row r="23" spans="1:10" x14ac:dyDescent="0.15">
      <c r="A23" s="57"/>
      <c r="B23" s="60"/>
      <c r="C23" s="58"/>
      <c r="D23" s="58"/>
      <c r="E23" s="58"/>
      <c r="F23" s="58"/>
      <c r="G23" s="58"/>
      <c r="H23" s="58"/>
      <c r="I23" s="58"/>
      <c r="J23" s="58"/>
    </row>
    <row r="24" spans="1:10" x14ac:dyDescent="0.15">
      <c r="A24" s="57"/>
      <c r="B24" s="59"/>
      <c r="C24" s="57"/>
      <c r="D24" s="57"/>
      <c r="E24" s="57"/>
      <c r="F24" s="57"/>
      <c r="G24" s="57"/>
      <c r="H24" s="57"/>
      <c r="I24" s="57"/>
      <c r="J24" s="57"/>
    </row>
    <row r="25" spans="1:10" x14ac:dyDescent="0.15">
      <c r="A25" s="57"/>
      <c r="B25" s="59"/>
      <c r="C25" s="57"/>
      <c r="D25" s="57"/>
      <c r="E25" s="57"/>
      <c r="F25" s="57"/>
      <c r="G25" s="57"/>
      <c r="H25" s="57"/>
      <c r="I25" s="57"/>
      <c r="J25" s="57"/>
    </row>
    <row r="26" spans="1:10" x14ac:dyDescent="0.15">
      <c r="A26" s="57"/>
      <c r="B26" s="59"/>
      <c r="C26" s="57"/>
      <c r="D26" s="57"/>
      <c r="E26" s="57"/>
      <c r="F26" s="57"/>
      <c r="G26" s="57"/>
      <c r="H26" s="57"/>
      <c r="I26" s="57"/>
      <c r="J26" s="57"/>
    </row>
    <row r="27" spans="1:10" x14ac:dyDescent="0.15">
      <c r="A27" s="57"/>
      <c r="B27" s="59"/>
      <c r="C27" s="57"/>
      <c r="D27" s="57"/>
      <c r="E27" s="57"/>
      <c r="F27" s="57"/>
      <c r="G27" s="57"/>
      <c r="H27" s="57"/>
      <c r="I27" s="57"/>
      <c r="J27" s="57"/>
    </row>
    <row r="28" spans="1:10" x14ac:dyDescent="0.15">
      <c r="A28" s="57"/>
      <c r="B28" s="59"/>
      <c r="C28" s="57"/>
      <c r="D28" s="57"/>
      <c r="E28" s="57"/>
      <c r="F28" s="57"/>
      <c r="G28" s="57"/>
      <c r="H28" s="57"/>
      <c r="I28" s="57"/>
      <c r="J28" s="57"/>
    </row>
    <row r="29" spans="1:10" x14ac:dyDescent="0.15">
      <c r="A29" s="57"/>
      <c r="B29" s="60"/>
      <c r="C29" s="58"/>
      <c r="D29" s="58"/>
      <c r="E29" s="58"/>
      <c r="F29" s="58"/>
      <c r="G29" s="58"/>
      <c r="H29" s="58"/>
      <c r="I29" s="58"/>
      <c r="J29" s="58"/>
    </row>
    <row r="30" spans="1:10" x14ac:dyDescent="0.15">
      <c r="A30" s="57"/>
      <c r="B30" s="60"/>
      <c r="C30" s="58"/>
      <c r="D30" s="58"/>
      <c r="E30" s="58"/>
      <c r="F30" s="58"/>
      <c r="G30" s="58"/>
      <c r="H30" s="58"/>
      <c r="I30" s="58"/>
      <c r="J30" s="58"/>
    </row>
    <row r="31" spans="1:10" x14ac:dyDescent="0.15">
      <c r="A31" s="57"/>
      <c r="B31" s="59"/>
      <c r="C31" s="57"/>
      <c r="D31" s="57"/>
      <c r="E31" s="57"/>
      <c r="F31" s="57"/>
      <c r="G31" s="57"/>
      <c r="H31" s="57"/>
      <c r="I31" s="57"/>
      <c r="J31" s="57"/>
    </row>
    <row r="32" spans="1:10" x14ac:dyDescent="0.15">
      <c r="A32" s="57"/>
      <c r="B32" s="60"/>
      <c r="C32" s="58"/>
      <c r="D32" s="58"/>
      <c r="E32" s="58"/>
      <c r="F32" s="58"/>
      <c r="G32" s="58"/>
      <c r="H32" s="58"/>
      <c r="I32" s="58"/>
      <c r="J32" s="58"/>
    </row>
    <row r="33" spans="1:10" x14ac:dyDescent="0.15">
      <c r="A33" s="57"/>
      <c r="B33" s="59"/>
      <c r="C33" s="57"/>
      <c r="D33" s="57"/>
      <c r="E33" s="57"/>
      <c r="F33" s="57"/>
      <c r="G33" s="57"/>
      <c r="H33" s="57"/>
      <c r="I33" s="57"/>
      <c r="J33" s="57"/>
    </row>
    <row r="34" spans="1:10" x14ac:dyDescent="0.15">
      <c r="A34" s="57"/>
      <c r="B34" s="60"/>
      <c r="C34" s="58"/>
      <c r="D34" s="58"/>
      <c r="E34" s="58"/>
      <c r="F34" s="58"/>
      <c r="G34" s="58"/>
      <c r="H34" s="58"/>
      <c r="I34" s="58"/>
      <c r="J34" s="58"/>
    </row>
    <row r="35" spans="1:10" x14ac:dyDescent="0.15">
      <c r="A35" s="57"/>
      <c r="B35" s="60"/>
      <c r="C35" s="58"/>
      <c r="D35" s="58"/>
      <c r="E35" s="58"/>
      <c r="F35" s="58"/>
      <c r="G35" s="58"/>
      <c r="H35" s="58"/>
      <c r="I35" s="58"/>
      <c r="J35" s="58"/>
    </row>
    <row r="36" spans="1:10" x14ac:dyDescent="0.15">
      <c r="A36" s="57"/>
      <c r="B36" s="60"/>
      <c r="C36" s="58"/>
      <c r="D36" s="58"/>
      <c r="E36" s="58"/>
      <c r="F36" s="58"/>
      <c r="G36" s="58"/>
      <c r="H36" s="58"/>
      <c r="I36" s="58"/>
      <c r="J36" s="58"/>
    </row>
    <row r="37" spans="1:10" x14ac:dyDescent="0.15">
      <c r="A37" s="57"/>
      <c r="B37" s="59"/>
      <c r="C37" s="57"/>
      <c r="D37" s="57"/>
      <c r="E37" s="57"/>
      <c r="F37" s="57"/>
      <c r="G37" s="57"/>
      <c r="H37" s="57"/>
      <c r="I37" s="57"/>
      <c r="J37" s="57"/>
    </row>
    <row r="38" spans="1:10" x14ac:dyDescent="0.15">
      <c r="A38" s="57"/>
      <c r="B38" s="59"/>
      <c r="C38" s="57"/>
      <c r="D38" s="57"/>
      <c r="E38" s="57"/>
      <c r="F38" s="57"/>
      <c r="G38" s="57"/>
      <c r="H38" s="57"/>
      <c r="I38" s="57"/>
      <c r="J38" s="57"/>
    </row>
    <row r="39" spans="1:10" x14ac:dyDescent="0.15">
      <c r="A39" s="21"/>
      <c r="B39" s="40"/>
      <c r="C39" s="23"/>
      <c r="D39" s="23"/>
      <c r="E39" s="23"/>
      <c r="F39" s="23"/>
      <c r="G39" s="23"/>
      <c r="H39" s="23"/>
      <c r="I39" s="23"/>
      <c r="J39" s="23"/>
    </row>
  </sheetData>
  <autoFilter ref="B2:I2"/>
  <sortState ref="A3:J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62"/>
  <sheetViews>
    <sheetView zoomScale="175" zoomScaleNormal="175" workbookViewId="0">
      <pane ySplit="2" topLeftCell="A3" activePane="bottomLeft" state="frozen"/>
      <selection pane="bottomLeft" activeCell="A3" sqref="A3"/>
    </sheetView>
  </sheetViews>
  <sheetFormatPr defaultRowHeight="13.5" x14ac:dyDescent="0.15"/>
  <cols>
    <col min="1" max="1" width="2.875" style="1" customWidth="1"/>
    <col min="2" max="2" width="8.625" style="1" customWidth="1"/>
    <col min="3" max="3" width="14.75" style="1" customWidth="1"/>
    <col min="4" max="4" width="14.625" style="1" bestFit="1" customWidth="1"/>
    <col min="5" max="5" width="13" style="1" customWidth="1"/>
    <col min="6" max="6" width="4.5" style="1" customWidth="1"/>
    <col min="7" max="7" width="4.75" style="2" bestFit="1" customWidth="1"/>
    <col min="8" max="8" width="5.25" style="1" customWidth="1"/>
    <col min="9" max="16384" width="9" style="1"/>
  </cols>
  <sheetData>
    <row r="1" spans="1:10" s="7" customFormat="1" ht="20.25" customHeight="1" x14ac:dyDescent="0.15">
      <c r="A1" s="110" t="s">
        <v>1058</v>
      </c>
      <c r="B1" s="111"/>
      <c r="C1" s="111"/>
      <c r="D1" s="111"/>
      <c r="E1" s="111"/>
      <c r="F1" s="111"/>
      <c r="G1" s="111"/>
      <c r="H1" s="111"/>
      <c r="I1" s="112"/>
      <c r="J1" s="8"/>
    </row>
    <row r="2" spans="1:10" s="17" customFormat="1" ht="24" x14ac:dyDescent="0.15">
      <c r="A2" s="18" t="s">
        <v>8</v>
      </c>
      <c r="B2" s="15" t="s">
        <v>37</v>
      </c>
      <c r="C2" s="16" t="s">
        <v>6</v>
      </c>
      <c r="D2" s="16" t="s">
        <v>7</v>
      </c>
      <c r="E2" s="16" t="s">
        <v>0</v>
      </c>
      <c r="F2" s="16" t="s">
        <v>25</v>
      </c>
      <c r="G2" s="16" t="s">
        <v>10</v>
      </c>
      <c r="H2" s="16" t="s">
        <v>26</v>
      </c>
      <c r="I2" s="16" t="s">
        <v>2</v>
      </c>
      <c r="J2" s="13"/>
    </row>
    <row r="3" spans="1:10" x14ac:dyDescent="0.15">
      <c r="A3" s="63"/>
      <c r="B3" s="64"/>
      <c r="C3" s="63"/>
      <c r="D3" s="63"/>
      <c r="E3" s="63"/>
      <c r="F3" s="62"/>
      <c r="G3" s="63"/>
      <c r="H3" s="63"/>
      <c r="I3" s="66"/>
    </row>
    <row r="4" spans="1:10" x14ac:dyDescent="0.15">
      <c r="A4" s="2"/>
      <c r="B4" s="3"/>
      <c r="C4" s="2"/>
      <c r="E4" s="2"/>
      <c r="H4" s="2"/>
      <c r="I4" s="5"/>
    </row>
    <row r="5" spans="1:10" x14ac:dyDescent="0.15">
      <c r="A5" s="2"/>
      <c r="B5" s="3"/>
      <c r="C5" s="2"/>
      <c r="D5" s="2"/>
      <c r="E5" s="2"/>
      <c r="H5" s="2"/>
      <c r="I5" s="5"/>
    </row>
    <row r="6" spans="1:10" x14ac:dyDescent="0.15">
      <c r="A6" s="2"/>
      <c r="B6" s="3"/>
      <c r="C6" s="2"/>
      <c r="D6" s="2"/>
      <c r="E6" s="2"/>
      <c r="H6" s="2"/>
      <c r="I6" s="5"/>
    </row>
    <row r="7" spans="1:10" x14ac:dyDescent="0.15">
      <c r="A7" s="2"/>
      <c r="B7" s="3"/>
      <c r="C7" s="6"/>
      <c r="D7" s="2"/>
      <c r="E7" s="2"/>
      <c r="H7" s="2"/>
      <c r="I7" s="5"/>
    </row>
    <row r="8" spans="1:10" x14ac:dyDescent="0.15">
      <c r="A8" s="2"/>
      <c r="B8" s="3"/>
      <c r="C8" s="6"/>
      <c r="D8" s="2"/>
      <c r="E8" s="2"/>
      <c r="F8" s="6"/>
      <c r="H8" s="2"/>
      <c r="I8" s="5"/>
    </row>
    <row r="9" spans="1:10" x14ac:dyDescent="0.15">
      <c r="A9" s="2"/>
      <c r="B9" s="3"/>
      <c r="C9" s="2"/>
      <c r="D9" s="2"/>
      <c r="E9" s="2"/>
      <c r="F9" s="2"/>
      <c r="H9" s="2"/>
      <c r="I9" s="5"/>
    </row>
    <row r="10" spans="1:10" x14ac:dyDescent="0.15">
      <c r="A10" s="2"/>
      <c r="B10" s="3"/>
      <c r="C10" s="2"/>
      <c r="D10" s="2"/>
      <c r="E10" s="2"/>
      <c r="F10" s="2"/>
      <c r="H10" s="2"/>
      <c r="I10" s="5"/>
    </row>
    <row r="11" spans="1:10" x14ac:dyDescent="0.15">
      <c r="A11" s="2"/>
      <c r="B11" s="3"/>
      <c r="C11" s="2"/>
      <c r="D11" s="2"/>
      <c r="E11" s="2"/>
      <c r="F11" s="2"/>
      <c r="H11" s="2"/>
      <c r="I11" s="5"/>
    </row>
    <row r="12" spans="1:10" x14ac:dyDescent="0.15">
      <c r="A12" s="2"/>
      <c r="B12" s="3"/>
      <c r="C12" s="2"/>
      <c r="D12" s="2"/>
      <c r="E12" s="2"/>
      <c r="H12" s="2"/>
      <c r="I12" s="5"/>
    </row>
    <row r="13" spans="1:10" x14ac:dyDescent="0.15">
      <c r="A13" s="2"/>
      <c r="B13" s="3"/>
      <c r="C13" s="2"/>
      <c r="D13" s="2"/>
      <c r="E13" s="2"/>
      <c r="H13" s="2"/>
      <c r="I13" s="5"/>
    </row>
    <row r="14" spans="1:10" x14ac:dyDescent="0.15">
      <c r="A14" s="2"/>
      <c r="B14" s="3"/>
      <c r="C14" s="2"/>
      <c r="D14" s="2"/>
      <c r="E14" s="2"/>
      <c r="H14" s="2"/>
      <c r="I14" s="5"/>
    </row>
    <row r="15" spans="1:10" x14ac:dyDescent="0.15">
      <c r="A15" s="2"/>
      <c r="B15" s="3"/>
      <c r="C15" s="2"/>
      <c r="D15" s="2"/>
      <c r="E15" s="2"/>
      <c r="H15" s="2"/>
      <c r="I15" s="5"/>
    </row>
    <row r="16" spans="1:10" x14ac:dyDescent="0.15">
      <c r="A16" s="2"/>
      <c r="B16" s="3"/>
      <c r="C16" s="2"/>
      <c r="D16" s="2"/>
      <c r="E16" s="2"/>
      <c r="H16" s="2"/>
      <c r="I16" s="5"/>
    </row>
    <row r="17" spans="1:9" x14ac:dyDescent="0.15">
      <c r="A17" s="2"/>
      <c r="B17" s="3"/>
      <c r="C17" s="2"/>
      <c r="D17" s="2"/>
      <c r="E17" s="2"/>
      <c r="H17" s="2"/>
      <c r="I17" s="5"/>
    </row>
    <row r="18" spans="1:9" x14ac:dyDescent="0.15">
      <c r="A18" s="2"/>
      <c r="B18" s="3"/>
      <c r="C18" s="2"/>
      <c r="D18" s="2"/>
      <c r="E18" s="2"/>
      <c r="H18" s="2"/>
      <c r="I18" s="5"/>
    </row>
    <row r="19" spans="1:9" x14ac:dyDescent="0.15">
      <c r="A19" s="2"/>
      <c r="B19" s="3"/>
      <c r="C19" s="2"/>
      <c r="D19" s="2"/>
      <c r="E19" s="2"/>
      <c r="H19" s="2"/>
      <c r="I19" s="5"/>
    </row>
    <row r="20" spans="1:9" x14ac:dyDescent="0.15">
      <c r="A20" s="2"/>
      <c r="B20" s="3"/>
      <c r="C20" s="2"/>
      <c r="D20" s="2"/>
      <c r="E20" s="2"/>
      <c r="H20" s="2"/>
      <c r="I20" s="5"/>
    </row>
    <row r="21" spans="1:9" x14ac:dyDescent="0.15">
      <c r="A21" s="2"/>
      <c r="B21" s="3"/>
      <c r="C21" s="2"/>
      <c r="D21" s="2"/>
      <c r="E21" s="2"/>
      <c r="H21" s="2"/>
      <c r="I21" s="5"/>
    </row>
    <row r="22" spans="1:9" x14ac:dyDescent="0.15">
      <c r="A22" s="2"/>
      <c r="B22" s="3"/>
      <c r="C22" s="2"/>
      <c r="D22" s="2"/>
      <c r="E22" s="2"/>
      <c r="H22" s="2"/>
      <c r="I22" s="5"/>
    </row>
    <row r="23" spans="1:9" x14ac:dyDescent="0.15">
      <c r="A23" s="2"/>
      <c r="B23" s="3"/>
      <c r="C23" s="2"/>
      <c r="D23" s="2"/>
      <c r="E23" s="2"/>
      <c r="H23" s="2"/>
      <c r="I23" s="5"/>
    </row>
    <row r="24" spans="1:9" x14ac:dyDescent="0.15">
      <c r="A24" s="2"/>
      <c r="B24" s="3"/>
      <c r="C24" s="2"/>
      <c r="D24" s="2"/>
      <c r="E24" s="2"/>
      <c r="H24" s="2"/>
      <c r="I24" s="5"/>
    </row>
    <row r="25" spans="1:9" x14ac:dyDescent="0.15">
      <c r="A25" s="2"/>
      <c r="B25" s="3"/>
      <c r="C25" s="2"/>
      <c r="D25" s="2"/>
      <c r="E25" s="2"/>
      <c r="H25" s="2"/>
      <c r="I25" s="5"/>
    </row>
    <row r="26" spans="1:9" x14ac:dyDescent="0.15">
      <c r="A26" s="2"/>
      <c r="B26" s="3"/>
      <c r="C26" s="2"/>
      <c r="D26" s="2"/>
      <c r="E26" s="2"/>
      <c r="H26" s="2"/>
      <c r="I26" s="5"/>
    </row>
    <row r="27" spans="1:9" x14ac:dyDescent="0.15">
      <c r="A27" s="2"/>
      <c r="B27" s="3"/>
      <c r="C27" s="2"/>
      <c r="D27" s="2"/>
      <c r="E27" s="2"/>
      <c r="H27" s="2"/>
      <c r="I27" s="5"/>
    </row>
    <row r="28" spans="1:9" x14ac:dyDescent="0.15">
      <c r="A28" s="2"/>
      <c r="B28" s="3"/>
      <c r="C28" s="2"/>
      <c r="D28" s="2"/>
      <c r="E28" s="2"/>
      <c r="H28" s="2"/>
      <c r="I28" s="5"/>
    </row>
    <row r="29" spans="1:9" x14ac:dyDescent="0.15">
      <c r="A29" s="2"/>
      <c r="B29" s="3"/>
      <c r="C29" s="2"/>
      <c r="D29" s="2"/>
      <c r="E29" s="2"/>
      <c r="H29" s="2"/>
      <c r="I29" s="5"/>
    </row>
    <row r="30" spans="1:9" x14ac:dyDescent="0.15">
      <c r="A30" s="2"/>
      <c r="B30" s="3"/>
      <c r="C30" s="2"/>
      <c r="D30" s="2"/>
      <c r="E30" s="2"/>
      <c r="H30" s="2"/>
      <c r="I30" s="5"/>
    </row>
    <row r="31" spans="1:9" x14ac:dyDescent="0.15">
      <c r="A31" s="2"/>
      <c r="B31" s="3"/>
      <c r="C31" s="2"/>
      <c r="D31" s="2"/>
      <c r="E31" s="2"/>
      <c r="H31" s="2"/>
      <c r="I31" s="5"/>
    </row>
    <row r="32" spans="1:9" x14ac:dyDescent="0.15">
      <c r="A32" s="2"/>
      <c r="B32" s="3"/>
      <c r="C32" s="2"/>
      <c r="D32" s="2"/>
      <c r="E32" s="2"/>
      <c r="H32" s="2"/>
      <c r="I32" s="5"/>
    </row>
    <row r="33" spans="1:9" x14ac:dyDescent="0.15">
      <c r="A33" s="2"/>
      <c r="B33" s="3"/>
      <c r="C33" s="2"/>
      <c r="D33" s="2"/>
      <c r="E33" s="2"/>
      <c r="H33" s="2"/>
      <c r="I33" s="5"/>
    </row>
    <row r="34" spans="1:9" x14ac:dyDescent="0.15">
      <c r="A34" s="2"/>
      <c r="B34" s="3"/>
      <c r="C34" s="2"/>
      <c r="D34" s="2"/>
      <c r="E34" s="2"/>
      <c r="H34" s="2"/>
      <c r="I34" s="5"/>
    </row>
    <row r="35" spans="1:9" x14ac:dyDescent="0.15">
      <c r="A35" s="2"/>
      <c r="B35" s="3"/>
      <c r="C35" s="2"/>
      <c r="D35" s="2"/>
      <c r="E35" s="2"/>
      <c r="H35" s="2"/>
      <c r="I35" s="5"/>
    </row>
    <row r="36" spans="1:9" x14ac:dyDescent="0.15">
      <c r="A36" s="2"/>
      <c r="B36" s="3"/>
      <c r="C36" s="2"/>
      <c r="D36" s="2"/>
      <c r="E36" s="2"/>
      <c r="H36" s="2"/>
      <c r="I36" s="5"/>
    </row>
    <row r="37" spans="1:9" x14ac:dyDescent="0.15">
      <c r="A37" s="2"/>
      <c r="B37" s="3"/>
      <c r="C37" s="2"/>
      <c r="D37" s="2"/>
      <c r="E37" s="2"/>
      <c r="H37" s="2"/>
      <c r="I37" s="5"/>
    </row>
    <row r="38" spans="1:9" x14ac:dyDescent="0.15">
      <c r="A38" s="2"/>
      <c r="B38" s="3"/>
      <c r="C38" s="2"/>
      <c r="D38" s="2"/>
      <c r="E38" s="2"/>
      <c r="H38" s="2"/>
      <c r="I38" s="5"/>
    </row>
    <row r="39" spans="1:9" x14ac:dyDescent="0.15">
      <c r="A39" s="2"/>
      <c r="B39" s="3"/>
      <c r="C39" s="2"/>
      <c r="D39" s="2"/>
      <c r="E39" s="2"/>
      <c r="H39" s="2"/>
      <c r="I39" s="5"/>
    </row>
    <row r="40" spans="1:9" x14ac:dyDescent="0.15">
      <c r="A40" s="2"/>
      <c r="B40" s="3"/>
      <c r="C40" s="2"/>
      <c r="D40" s="2"/>
      <c r="E40" s="2"/>
      <c r="H40" s="2"/>
      <c r="I40" s="5"/>
    </row>
    <row r="41" spans="1:9" x14ac:dyDescent="0.15">
      <c r="A41" s="2"/>
      <c r="B41" s="3"/>
      <c r="C41" s="2"/>
      <c r="D41" s="2"/>
      <c r="E41" s="2"/>
      <c r="H41" s="2"/>
      <c r="I41" s="5"/>
    </row>
    <row r="42" spans="1:9" x14ac:dyDescent="0.15">
      <c r="A42" s="2"/>
      <c r="B42" s="3"/>
      <c r="C42" s="2"/>
      <c r="D42" s="2"/>
      <c r="E42" s="2"/>
      <c r="H42" s="2"/>
      <c r="I42" s="5"/>
    </row>
    <row r="43" spans="1:9" x14ac:dyDescent="0.15">
      <c r="A43" s="2"/>
      <c r="B43" s="3"/>
      <c r="C43" s="2"/>
      <c r="D43" s="2"/>
      <c r="E43" s="2"/>
      <c r="H43" s="2"/>
      <c r="I43" s="5"/>
    </row>
    <row r="44" spans="1:9" x14ac:dyDescent="0.15">
      <c r="A44" s="2"/>
      <c r="B44" s="3"/>
      <c r="C44" s="2"/>
      <c r="D44" s="2"/>
      <c r="E44" s="2"/>
      <c r="H44" s="2"/>
      <c r="I44" s="5"/>
    </row>
    <row r="45" spans="1:9" x14ac:dyDescent="0.15">
      <c r="A45" s="2"/>
      <c r="B45" s="3"/>
      <c r="C45" s="2"/>
      <c r="D45" s="2"/>
      <c r="E45" s="2"/>
      <c r="H45" s="2"/>
      <c r="I45" s="5"/>
    </row>
    <row r="46" spans="1:9" x14ac:dyDescent="0.15">
      <c r="A46" s="2"/>
      <c r="B46" s="3"/>
      <c r="C46" s="2"/>
      <c r="D46" s="2"/>
      <c r="E46" s="2"/>
      <c r="H46" s="2"/>
      <c r="I46" s="5"/>
    </row>
    <row r="47" spans="1:9" x14ac:dyDescent="0.15">
      <c r="A47" s="2"/>
      <c r="B47" s="3"/>
      <c r="C47" s="2"/>
      <c r="D47" s="2"/>
      <c r="E47" s="2"/>
      <c r="H47" s="2"/>
      <c r="I47" s="5"/>
    </row>
    <row r="48" spans="1:9" x14ac:dyDescent="0.15">
      <c r="A48" s="2"/>
      <c r="B48" s="3"/>
      <c r="C48" s="2"/>
      <c r="D48" s="2"/>
      <c r="E48" s="2"/>
      <c r="H48" s="2"/>
      <c r="I48" s="5"/>
    </row>
    <row r="49" spans="1:9" x14ac:dyDescent="0.15">
      <c r="A49" s="2"/>
      <c r="B49" s="3"/>
      <c r="C49" s="2"/>
      <c r="D49" s="2"/>
      <c r="E49" s="2"/>
      <c r="H49" s="2"/>
      <c r="I49" s="5"/>
    </row>
    <row r="50" spans="1:9" x14ac:dyDescent="0.15">
      <c r="A50" s="2"/>
      <c r="B50" s="3"/>
      <c r="C50" s="2"/>
      <c r="D50" s="2"/>
      <c r="E50" s="2"/>
      <c r="H50" s="2"/>
      <c r="I50" s="5"/>
    </row>
    <row r="51" spans="1:9" x14ac:dyDescent="0.15">
      <c r="A51" s="2"/>
      <c r="B51" s="3"/>
      <c r="C51" s="2"/>
      <c r="D51" s="2"/>
      <c r="E51" s="2"/>
      <c r="H51" s="2"/>
      <c r="I51" s="5"/>
    </row>
    <row r="52" spans="1:9" x14ac:dyDescent="0.15">
      <c r="A52" s="2"/>
      <c r="B52" s="3"/>
      <c r="C52" s="2"/>
      <c r="D52" s="2"/>
      <c r="E52" s="2"/>
      <c r="H52" s="2"/>
      <c r="I52" s="5"/>
    </row>
    <row r="53" spans="1:9" x14ac:dyDescent="0.15">
      <c r="A53" s="2"/>
      <c r="B53" s="3"/>
      <c r="C53" s="2"/>
      <c r="D53" s="2"/>
      <c r="E53" s="2"/>
      <c r="H53" s="2"/>
      <c r="I53" s="5"/>
    </row>
    <row r="54" spans="1:9" x14ac:dyDescent="0.15">
      <c r="A54" s="2"/>
      <c r="B54" s="3"/>
      <c r="C54" s="2"/>
      <c r="D54" s="2"/>
      <c r="E54" s="2"/>
      <c r="H54" s="2"/>
      <c r="I54" s="5"/>
    </row>
    <row r="55" spans="1:9" x14ac:dyDescent="0.15">
      <c r="A55" s="2"/>
      <c r="B55" s="3"/>
      <c r="C55" s="2"/>
      <c r="D55" s="2"/>
      <c r="E55" s="2"/>
      <c r="H55" s="2"/>
      <c r="I55" s="5"/>
    </row>
    <row r="56" spans="1:9" x14ac:dyDescent="0.15">
      <c r="A56" s="2"/>
      <c r="B56" s="3"/>
      <c r="C56" s="2"/>
      <c r="D56" s="2"/>
      <c r="E56" s="2"/>
      <c r="H56" s="2"/>
      <c r="I56" s="5"/>
    </row>
    <row r="57" spans="1:9" x14ac:dyDescent="0.15">
      <c r="A57" s="2"/>
      <c r="B57" s="3"/>
      <c r="C57" s="2"/>
      <c r="D57" s="2"/>
      <c r="E57" s="2"/>
      <c r="H57" s="2"/>
      <c r="I57" s="5"/>
    </row>
    <row r="58" spans="1:9" x14ac:dyDescent="0.15">
      <c r="A58" s="2"/>
    </row>
    <row r="59" spans="1:9" x14ac:dyDescent="0.15">
      <c r="A59" s="2"/>
    </row>
    <row r="60" spans="1:9" x14ac:dyDescent="0.15">
      <c r="A60" s="2"/>
    </row>
    <row r="61" spans="1:9" x14ac:dyDescent="0.15">
      <c r="A61" s="2"/>
    </row>
    <row r="62" spans="1:9" x14ac:dyDescent="0.15">
      <c r="A62" s="2"/>
    </row>
  </sheetData>
  <sortState ref="A3:I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34"/>
  <sheetViews>
    <sheetView zoomScale="175" zoomScaleNormal="175" workbookViewId="0">
      <pane ySplit="2" topLeftCell="A3" activePane="bottomLeft" state="frozen"/>
      <selection pane="bottomLeft" activeCell="D17" sqref="D17"/>
    </sheetView>
  </sheetViews>
  <sheetFormatPr defaultRowHeight="13.5" x14ac:dyDescent="0.15"/>
  <cols>
    <col min="1" max="1" width="2.875" style="1" customWidth="1"/>
    <col min="2" max="2" width="14.75" style="1" customWidth="1"/>
    <col min="3" max="3" width="14.625" style="1" bestFit="1" customWidth="1"/>
    <col min="4" max="4" width="13" style="1" customWidth="1"/>
    <col min="5" max="5" width="4.5" style="1" customWidth="1"/>
    <col min="6" max="6" width="4.75" style="2" bestFit="1" customWidth="1"/>
    <col min="7" max="8" width="5.25" style="1" customWidth="1"/>
    <col min="9" max="16384" width="9" style="1"/>
  </cols>
  <sheetData>
    <row r="1" spans="1:10" s="7" customFormat="1" ht="20.25" customHeight="1" x14ac:dyDescent="0.15">
      <c r="A1" s="110" t="s">
        <v>803</v>
      </c>
      <c r="B1" s="111"/>
      <c r="C1" s="111"/>
      <c r="D1" s="111"/>
      <c r="E1" s="111"/>
      <c r="F1" s="111"/>
      <c r="G1" s="111"/>
      <c r="H1" s="111"/>
      <c r="I1" s="112"/>
      <c r="J1" s="8"/>
    </row>
    <row r="2" spans="1:10" s="17" customFormat="1" ht="24" x14ac:dyDescent="0.15">
      <c r="A2" s="18" t="s">
        <v>8</v>
      </c>
      <c r="B2" s="16" t="s">
        <v>6</v>
      </c>
      <c r="C2" s="16" t="s">
        <v>7</v>
      </c>
      <c r="D2" s="16" t="s">
        <v>0</v>
      </c>
      <c r="E2" s="16" t="s">
        <v>21</v>
      </c>
      <c r="F2" s="16" t="s">
        <v>10</v>
      </c>
      <c r="G2" s="16" t="s">
        <v>26</v>
      </c>
      <c r="H2" s="16" t="s">
        <v>38</v>
      </c>
      <c r="I2" s="16" t="s">
        <v>2</v>
      </c>
      <c r="J2" s="16" t="s">
        <v>87</v>
      </c>
    </row>
    <row r="3" spans="1:10" s="34" customFormat="1" x14ac:dyDescent="0.15">
      <c r="A3" s="1">
        <v>1</v>
      </c>
      <c r="B3" s="1" t="s">
        <v>645</v>
      </c>
      <c r="C3" s="1" t="s">
        <v>646</v>
      </c>
      <c r="D3" s="1" t="s">
        <v>49</v>
      </c>
      <c r="E3" s="1">
        <v>32</v>
      </c>
      <c r="F3" s="2" t="s">
        <v>5</v>
      </c>
      <c r="G3" s="1">
        <v>0.3</v>
      </c>
      <c r="H3" s="1">
        <v>9.6</v>
      </c>
      <c r="I3" s="1"/>
      <c r="J3" s="1" t="s">
        <v>644</v>
      </c>
    </row>
    <row r="4" spans="1:10" s="34" customFormat="1" x14ac:dyDescent="0.15">
      <c r="A4" s="1">
        <v>2</v>
      </c>
      <c r="B4" s="1" t="s">
        <v>683</v>
      </c>
      <c r="C4" s="1" t="s">
        <v>620</v>
      </c>
      <c r="D4" s="1" t="s">
        <v>249</v>
      </c>
      <c r="E4" s="1">
        <v>1</v>
      </c>
      <c r="F4" s="2" t="s">
        <v>5</v>
      </c>
      <c r="G4" s="1">
        <v>8.6</v>
      </c>
      <c r="H4" s="1">
        <v>8.6</v>
      </c>
      <c r="I4" s="1" t="s">
        <v>805</v>
      </c>
      <c r="J4" s="1" t="s">
        <v>682</v>
      </c>
    </row>
    <row r="5" spans="1:10" s="34" customFormat="1" x14ac:dyDescent="0.15">
      <c r="A5" s="1">
        <v>3</v>
      </c>
      <c r="B5" s="1" t="s">
        <v>673</v>
      </c>
      <c r="C5" s="1" t="s">
        <v>674</v>
      </c>
      <c r="D5" s="1" t="s">
        <v>675</v>
      </c>
      <c r="E5" s="1">
        <v>2</v>
      </c>
      <c r="F5" s="2" t="s">
        <v>5</v>
      </c>
      <c r="G5" s="1">
        <v>1</v>
      </c>
      <c r="H5" s="1">
        <v>2</v>
      </c>
      <c r="I5" s="1" t="s">
        <v>805</v>
      </c>
      <c r="J5" s="1" t="s">
        <v>672</v>
      </c>
    </row>
    <row r="6" spans="1:10" s="34" customFormat="1" x14ac:dyDescent="0.15">
      <c r="A6" s="1">
        <v>4</v>
      </c>
      <c r="B6" s="1" t="s">
        <v>668</v>
      </c>
      <c r="C6" s="1" t="s">
        <v>30</v>
      </c>
      <c r="D6" s="1" t="s">
        <v>669</v>
      </c>
      <c r="E6" s="1">
        <v>8</v>
      </c>
      <c r="F6" s="2" t="s">
        <v>5</v>
      </c>
      <c r="G6" s="1">
        <v>2.2000000000000002</v>
      </c>
      <c r="H6" s="1">
        <v>17.600000000000001</v>
      </c>
      <c r="I6" s="1" t="s">
        <v>805</v>
      </c>
      <c r="J6" s="1" t="s">
        <v>667</v>
      </c>
    </row>
    <row r="7" spans="1:10" s="34" customFormat="1" x14ac:dyDescent="0.15">
      <c r="A7" s="1">
        <v>5</v>
      </c>
      <c r="B7" s="1" t="s">
        <v>661</v>
      </c>
      <c r="C7" s="1" t="s">
        <v>662</v>
      </c>
      <c r="D7" s="1" t="s">
        <v>640</v>
      </c>
      <c r="E7" s="1">
        <v>4</v>
      </c>
      <c r="F7" s="2" t="s">
        <v>511</v>
      </c>
      <c r="G7" s="1">
        <v>3</v>
      </c>
      <c r="H7" s="1">
        <v>12</v>
      </c>
      <c r="I7" s="1" t="s">
        <v>805</v>
      </c>
      <c r="J7" s="1" t="s">
        <v>660</v>
      </c>
    </row>
    <row r="8" spans="1:10" s="34" customFormat="1" x14ac:dyDescent="0.15">
      <c r="A8" s="1">
        <v>6</v>
      </c>
      <c r="B8" s="1" t="s">
        <v>656</v>
      </c>
      <c r="C8" s="1" t="s">
        <v>657</v>
      </c>
      <c r="D8" s="1" t="s">
        <v>628</v>
      </c>
      <c r="E8" s="1">
        <v>8</v>
      </c>
      <c r="F8" s="2" t="s">
        <v>511</v>
      </c>
      <c r="G8" s="1">
        <v>4.4000000000000004</v>
      </c>
      <c r="H8" s="1">
        <v>35.200000000000003</v>
      </c>
      <c r="I8" s="1" t="s">
        <v>805</v>
      </c>
      <c r="J8" s="1" t="s">
        <v>655</v>
      </c>
    </row>
    <row r="9" spans="1:10" s="34" customFormat="1" x14ac:dyDescent="0.15">
      <c r="A9" s="1">
        <v>7</v>
      </c>
      <c r="B9" s="1" t="s">
        <v>623</v>
      </c>
      <c r="C9" s="1" t="s">
        <v>624</v>
      </c>
      <c r="D9" s="1" t="s">
        <v>49</v>
      </c>
      <c r="E9" s="1">
        <v>32</v>
      </c>
      <c r="F9" s="2" t="s">
        <v>5</v>
      </c>
      <c r="G9" s="1">
        <v>0.3</v>
      </c>
      <c r="H9" s="1">
        <v>9.6</v>
      </c>
      <c r="I9" s="1"/>
      <c r="J9" s="1" t="s">
        <v>622</v>
      </c>
    </row>
    <row r="10" spans="1:10" s="34" customFormat="1" x14ac:dyDescent="0.15">
      <c r="A10" s="1">
        <v>8</v>
      </c>
      <c r="B10" s="1" t="s">
        <v>638</v>
      </c>
      <c r="C10" s="1" t="s">
        <v>639</v>
      </c>
      <c r="D10" s="1" t="s">
        <v>640</v>
      </c>
      <c r="E10" s="1">
        <v>4</v>
      </c>
      <c r="F10" s="2" t="s">
        <v>5</v>
      </c>
      <c r="G10" s="1">
        <v>3</v>
      </c>
      <c r="H10" s="1">
        <v>12</v>
      </c>
      <c r="I10" s="1" t="s">
        <v>805</v>
      </c>
      <c r="J10" s="1" t="s">
        <v>637</v>
      </c>
    </row>
    <row r="11" spans="1:10" s="34" customFormat="1" x14ac:dyDescent="0.15">
      <c r="A11" s="1">
        <v>9</v>
      </c>
      <c r="B11" s="1" t="s">
        <v>619</v>
      </c>
      <c r="C11" s="1" t="s">
        <v>620</v>
      </c>
      <c r="D11" s="1" t="s">
        <v>621</v>
      </c>
      <c r="E11" s="1">
        <v>2</v>
      </c>
      <c r="F11" s="2" t="s">
        <v>5</v>
      </c>
      <c r="G11" s="1">
        <v>0.9</v>
      </c>
      <c r="H11" s="1">
        <v>1.8</v>
      </c>
      <c r="I11" s="1" t="s">
        <v>805</v>
      </c>
      <c r="J11" s="1" t="s">
        <v>618</v>
      </c>
    </row>
    <row r="12" spans="1:10" s="34" customFormat="1" x14ac:dyDescent="0.15">
      <c r="A12" s="1">
        <v>10</v>
      </c>
      <c r="B12" s="1" t="s">
        <v>634</v>
      </c>
      <c r="C12" s="1" t="s">
        <v>635</v>
      </c>
      <c r="D12" s="1" t="s">
        <v>636</v>
      </c>
      <c r="E12" s="1">
        <v>2</v>
      </c>
      <c r="F12" s="2" t="s">
        <v>5</v>
      </c>
      <c r="G12" s="1">
        <v>2.1</v>
      </c>
      <c r="H12" s="1">
        <v>4.2</v>
      </c>
      <c r="I12" s="1" t="s">
        <v>805</v>
      </c>
      <c r="J12" s="1" t="s">
        <v>633</v>
      </c>
    </row>
    <row r="13" spans="1:10" s="35" customFormat="1" x14ac:dyDescent="0.15">
      <c r="A13" s="1">
        <v>11</v>
      </c>
      <c r="B13" s="1" t="s">
        <v>630</v>
      </c>
      <c r="C13" s="1" t="s">
        <v>631</v>
      </c>
      <c r="D13" s="1" t="s">
        <v>632</v>
      </c>
      <c r="E13" s="1">
        <v>2</v>
      </c>
      <c r="F13" s="2" t="s">
        <v>5</v>
      </c>
      <c r="G13" s="1">
        <v>5.0999999999999996</v>
      </c>
      <c r="H13" s="1">
        <v>10.199999999999999</v>
      </c>
      <c r="I13" s="1" t="s">
        <v>805</v>
      </c>
      <c r="J13" s="1" t="s">
        <v>629</v>
      </c>
    </row>
    <row r="14" spans="1:10" s="35" customFormat="1" x14ac:dyDescent="0.15">
      <c r="A14" s="1">
        <v>12</v>
      </c>
      <c r="B14" s="1" t="s">
        <v>626</v>
      </c>
      <c r="C14" s="1" t="s">
        <v>627</v>
      </c>
      <c r="D14" s="1" t="s">
        <v>628</v>
      </c>
      <c r="E14" s="1">
        <v>4</v>
      </c>
      <c r="F14" s="2" t="s">
        <v>5</v>
      </c>
      <c r="G14" s="1">
        <v>4.4000000000000004</v>
      </c>
      <c r="H14" s="1">
        <v>17.600000000000001</v>
      </c>
      <c r="I14" s="1" t="s">
        <v>805</v>
      </c>
      <c r="J14" s="1" t="s">
        <v>625</v>
      </c>
    </row>
    <row r="15" spans="1:10" s="35" customFormat="1" x14ac:dyDescent="0.15">
      <c r="A15" s="1">
        <v>13</v>
      </c>
      <c r="B15" s="1" t="s">
        <v>613</v>
      </c>
      <c r="C15" s="1" t="s">
        <v>614</v>
      </c>
      <c r="D15" s="1" t="s">
        <v>249</v>
      </c>
      <c r="E15" s="1">
        <v>1</v>
      </c>
      <c r="F15" s="2" t="s">
        <v>5</v>
      </c>
      <c r="G15" s="1">
        <v>7.6</v>
      </c>
      <c r="H15" s="1">
        <v>7.6</v>
      </c>
      <c r="I15" s="1"/>
      <c r="J15" s="1" t="s">
        <v>612</v>
      </c>
    </row>
    <row r="16" spans="1:10" s="35" customFormat="1" x14ac:dyDescent="0.15">
      <c r="A16" s="1">
        <v>14</v>
      </c>
      <c r="B16" s="1" t="s">
        <v>608</v>
      </c>
      <c r="C16" s="1" t="s">
        <v>609</v>
      </c>
      <c r="D16" s="1" t="s">
        <v>249</v>
      </c>
      <c r="E16" s="1">
        <v>1</v>
      </c>
      <c r="F16" s="2" t="s">
        <v>5</v>
      </c>
      <c r="G16" s="1">
        <v>26.9</v>
      </c>
      <c r="H16" s="1">
        <v>26.9</v>
      </c>
      <c r="I16" s="1"/>
      <c r="J16" s="1" t="s">
        <v>607</v>
      </c>
    </row>
    <row r="17" spans="1:10" s="35" customFormat="1" x14ac:dyDescent="0.15">
      <c r="A17" s="1">
        <v>15</v>
      </c>
      <c r="B17" s="1" t="s">
        <v>605</v>
      </c>
      <c r="C17" s="1" t="s">
        <v>606</v>
      </c>
      <c r="D17" s="1" t="s">
        <v>249</v>
      </c>
      <c r="E17" s="1">
        <v>1</v>
      </c>
      <c r="F17" s="2" t="s">
        <v>5</v>
      </c>
      <c r="G17" s="1">
        <v>21.3</v>
      </c>
      <c r="H17" s="1">
        <v>21.3</v>
      </c>
      <c r="I17" s="1"/>
      <c r="J17" s="1" t="s">
        <v>604</v>
      </c>
    </row>
    <row r="18" spans="1:10" s="35" customFormat="1" x14ac:dyDescent="0.15">
      <c r="A18" s="1">
        <v>16</v>
      </c>
      <c r="B18" s="1" t="s">
        <v>592</v>
      </c>
      <c r="C18" s="1" t="s">
        <v>593</v>
      </c>
      <c r="D18" s="1" t="s">
        <v>49</v>
      </c>
      <c r="E18" s="1">
        <v>1</v>
      </c>
      <c r="F18" s="2" t="s">
        <v>5</v>
      </c>
      <c r="G18" s="1">
        <v>0.3</v>
      </c>
      <c r="H18" s="1">
        <v>0.3</v>
      </c>
      <c r="I18" s="1"/>
      <c r="J18" s="1" t="s">
        <v>591</v>
      </c>
    </row>
    <row r="19" spans="1:10" s="35" customFormat="1" x14ac:dyDescent="0.15">
      <c r="A19" s="1">
        <v>17</v>
      </c>
      <c r="B19" s="1" t="s">
        <v>578</v>
      </c>
      <c r="C19" s="1" t="s">
        <v>579</v>
      </c>
      <c r="D19" s="1" t="s">
        <v>580</v>
      </c>
      <c r="E19" s="1">
        <v>2</v>
      </c>
      <c r="F19" s="2" t="s">
        <v>5</v>
      </c>
      <c r="G19" s="1">
        <v>0.1</v>
      </c>
      <c r="H19" s="1">
        <v>0.2</v>
      </c>
      <c r="I19" s="1"/>
      <c r="J19" s="1" t="s">
        <v>577</v>
      </c>
    </row>
    <row r="20" spans="1:10" s="35" customFormat="1" x14ac:dyDescent="0.15">
      <c r="A20" s="1">
        <v>18</v>
      </c>
      <c r="B20" s="1" t="s">
        <v>574</v>
      </c>
      <c r="C20" s="1" t="s">
        <v>575</v>
      </c>
      <c r="D20" s="1" t="s">
        <v>576</v>
      </c>
      <c r="E20" s="1">
        <v>2</v>
      </c>
      <c r="F20" s="2" t="s">
        <v>5</v>
      </c>
      <c r="G20" s="1">
        <v>0.9</v>
      </c>
      <c r="H20" s="1">
        <v>1.8</v>
      </c>
      <c r="I20" s="1"/>
      <c r="J20" s="1" t="s">
        <v>573</v>
      </c>
    </row>
    <row r="21" spans="1:10" x14ac:dyDescent="0.15">
      <c r="A21" s="1">
        <v>19</v>
      </c>
      <c r="B21" s="1" t="s">
        <v>570</v>
      </c>
      <c r="C21" s="1" t="s">
        <v>571</v>
      </c>
      <c r="D21" s="1" t="s">
        <v>572</v>
      </c>
      <c r="E21" s="1">
        <v>1</v>
      </c>
      <c r="F21" s="2" t="s">
        <v>5</v>
      </c>
      <c r="G21" s="1">
        <v>8.6</v>
      </c>
      <c r="H21" s="1">
        <v>8.6</v>
      </c>
      <c r="J21" s="1" t="s">
        <v>569</v>
      </c>
    </row>
    <row r="22" spans="1:10" x14ac:dyDescent="0.15">
      <c r="A22" s="1">
        <v>20</v>
      </c>
      <c r="B22" s="1" t="s">
        <v>567</v>
      </c>
      <c r="C22" s="1" t="s">
        <v>559</v>
      </c>
      <c r="D22" s="1" t="s">
        <v>568</v>
      </c>
      <c r="E22" s="1">
        <v>1</v>
      </c>
      <c r="F22" s="2" t="s">
        <v>5</v>
      </c>
      <c r="G22" s="1">
        <v>0.2</v>
      </c>
      <c r="H22" s="1">
        <v>0.2</v>
      </c>
      <c r="J22" s="1" t="s">
        <v>566</v>
      </c>
    </row>
    <row r="23" spans="1:10" x14ac:dyDescent="0.15">
      <c r="A23" s="1">
        <v>21</v>
      </c>
      <c r="B23" s="1" t="s">
        <v>558</v>
      </c>
      <c r="C23" s="1" t="s">
        <v>559</v>
      </c>
      <c r="D23" s="1" t="s">
        <v>560</v>
      </c>
      <c r="E23" s="1">
        <v>1</v>
      </c>
      <c r="F23" s="2" t="s">
        <v>5</v>
      </c>
      <c r="H23" s="1">
        <v>0</v>
      </c>
      <c r="J23" s="1" t="s">
        <v>557</v>
      </c>
    </row>
    <row r="24" spans="1:10" x14ac:dyDescent="0.15">
      <c r="A24" s="1">
        <v>22</v>
      </c>
      <c r="B24" s="1" t="s">
        <v>553</v>
      </c>
      <c r="C24" s="1" t="s">
        <v>550</v>
      </c>
      <c r="D24" s="1" t="s">
        <v>554</v>
      </c>
      <c r="E24" s="1">
        <v>1</v>
      </c>
      <c r="F24" s="2" t="s">
        <v>5</v>
      </c>
      <c r="G24" s="1">
        <v>9.8000000000000007</v>
      </c>
      <c r="H24" s="1">
        <v>9.8000000000000007</v>
      </c>
      <c r="J24" s="1" t="s">
        <v>552</v>
      </c>
    </row>
    <row r="25" spans="1:10" x14ac:dyDescent="0.15">
      <c r="A25" s="1">
        <v>23</v>
      </c>
      <c r="B25" s="1" t="s">
        <v>542</v>
      </c>
      <c r="C25" s="1" t="s">
        <v>543</v>
      </c>
      <c r="D25" s="1" t="s">
        <v>544</v>
      </c>
      <c r="E25" s="1">
        <v>1</v>
      </c>
      <c r="F25" s="2" t="s">
        <v>5</v>
      </c>
      <c r="G25" s="1">
        <v>4.8</v>
      </c>
      <c r="H25" s="1">
        <v>4.8</v>
      </c>
      <c r="J25" s="1" t="s">
        <v>541</v>
      </c>
    </row>
    <row r="26" spans="1:10" x14ac:dyDescent="0.15">
      <c r="A26" s="1">
        <v>24</v>
      </c>
      <c r="B26" s="1" t="s">
        <v>537</v>
      </c>
      <c r="C26" s="1" t="s">
        <v>328</v>
      </c>
      <c r="D26" s="1" t="s">
        <v>538</v>
      </c>
      <c r="E26" s="1">
        <v>1</v>
      </c>
      <c r="F26" s="2" t="s">
        <v>5</v>
      </c>
      <c r="G26" s="1">
        <v>4.5999999999999996</v>
      </c>
      <c r="H26" s="1">
        <v>4.5999999999999996</v>
      </c>
      <c r="J26" s="1" t="s">
        <v>536</v>
      </c>
    </row>
    <row r="27" spans="1:10" x14ac:dyDescent="0.15">
      <c r="A27" s="1">
        <v>25</v>
      </c>
      <c r="B27" s="1" t="s">
        <v>529</v>
      </c>
      <c r="C27" s="1" t="s">
        <v>30</v>
      </c>
      <c r="D27" s="1" t="s">
        <v>530</v>
      </c>
      <c r="E27" s="1">
        <v>4</v>
      </c>
      <c r="F27" s="2" t="s">
        <v>5</v>
      </c>
      <c r="H27" s="1">
        <v>0</v>
      </c>
      <c r="J27" s="1" t="s">
        <v>528</v>
      </c>
    </row>
    <row r="28" spans="1:10" x14ac:dyDescent="0.15">
      <c r="A28" s="1">
        <v>26</v>
      </c>
      <c r="B28" s="1" t="s">
        <v>526</v>
      </c>
      <c r="C28" s="1" t="s">
        <v>527</v>
      </c>
      <c r="D28" s="1" t="s">
        <v>249</v>
      </c>
      <c r="E28" s="1">
        <v>1</v>
      </c>
      <c r="F28" s="2" t="s">
        <v>5</v>
      </c>
      <c r="H28" s="1">
        <v>0</v>
      </c>
      <c r="J28" s="1" t="s">
        <v>525</v>
      </c>
    </row>
    <row r="29" spans="1:10" x14ac:dyDescent="0.15">
      <c r="A29" s="1">
        <v>27</v>
      </c>
      <c r="B29" s="1" t="s">
        <v>481</v>
      </c>
      <c r="C29" s="1" t="s">
        <v>480</v>
      </c>
      <c r="D29" s="1" t="s">
        <v>482</v>
      </c>
      <c r="E29" s="1">
        <v>1</v>
      </c>
      <c r="F29" s="2" t="s">
        <v>5</v>
      </c>
      <c r="G29" s="1">
        <v>3</v>
      </c>
      <c r="H29" s="1">
        <v>3</v>
      </c>
      <c r="J29" s="1" t="s">
        <v>479</v>
      </c>
    </row>
    <row r="30" spans="1:10" x14ac:dyDescent="0.15">
      <c r="A30" s="1">
        <v>28</v>
      </c>
      <c r="B30" s="1" t="s">
        <v>477</v>
      </c>
      <c r="C30" s="1" t="s">
        <v>476</v>
      </c>
      <c r="D30" s="1" t="s">
        <v>478</v>
      </c>
      <c r="E30" s="1">
        <v>1</v>
      </c>
      <c r="F30" s="2" t="s">
        <v>5</v>
      </c>
      <c r="G30" s="1">
        <v>0.2</v>
      </c>
      <c r="H30" s="1">
        <v>0.2</v>
      </c>
      <c r="J30" s="1" t="s">
        <v>475</v>
      </c>
    </row>
    <row r="31" spans="1:10" x14ac:dyDescent="0.15">
      <c r="A31" s="1">
        <v>29</v>
      </c>
      <c r="B31" s="1" t="s">
        <v>59</v>
      </c>
      <c r="C31" s="1" t="s">
        <v>60</v>
      </c>
      <c r="D31" s="1" t="s">
        <v>198</v>
      </c>
      <c r="E31" s="1">
        <v>8</v>
      </c>
      <c r="F31" s="2" t="s">
        <v>5</v>
      </c>
      <c r="G31" s="1">
        <v>2.4</v>
      </c>
      <c r="H31" s="1">
        <v>19.2</v>
      </c>
      <c r="J31" s="1" t="s">
        <v>396</v>
      </c>
    </row>
    <row r="32" spans="1:10" x14ac:dyDescent="0.15">
      <c r="A32" s="1">
        <v>30</v>
      </c>
      <c r="B32" s="1" t="s">
        <v>184</v>
      </c>
      <c r="C32" s="1" t="s">
        <v>185</v>
      </c>
      <c r="D32" s="1" t="s">
        <v>186</v>
      </c>
      <c r="E32" s="1">
        <v>2</v>
      </c>
      <c r="F32" s="2" t="s">
        <v>92</v>
      </c>
      <c r="G32" s="1">
        <v>19.100000000000001</v>
      </c>
      <c r="H32" s="1">
        <v>38.200000000000003</v>
      </c>
      <c r="I32" s="1" t="s">
        <v>804</v>
      </c>
      <c r="J32" s="1" t="s">
        <v>387</v>
      </c>
    </row>
    <row r="33" spans="1:10" x14ac:dyDescent="0.15">
      <c r="A33" s="1">
        <v>31</v>
      </c>
      <c r="B33" s="1" t="s">
        <v>181</v>
      </c>
      <c r="C33" s="1" t="s">
        <v>182</v>
      </c>
      <c r="D33" s="1" t="s">
        <v>183</v>
      </c>
      <c r="E33" s="1">
        <v>1</v>
      </c>
      <c r="F33" s="2" t="s">
        <v>92</v>
      </c>
      <c r="G33" s="1">
        <v>25.9</v>
      </c>
      <c r="H33" s="1">
        <v>25.9</v>
      </c>
      <c r="I33" s="1" t="s">
        <v>804</v>
      </c>
      <c r="J33" s="1" t="s">
        <v>386</v>
      </c>
    </row>
    <row r="34" spans="1:10" x14ac:dyDescent="0.15">
      <c r="A34" s="1">
        <v>32</v>
      </c>
      <c r="B34" s="2" t="s">
        <v>107</v>
      </c>
      <c r="C34" s="2" t="s">
        <v>108</v>
      </c>
      <c r="D34" s="2" t="s">
        <v>49</v>
      </c>
      <c r="E34" s="1">
        <v>4</v>
      </c>
      <c r="F34" s="2" t="s">
        <v>92</v>
      </c>
      <c r="G34" s="2">
        <v>1.5</v>
      </c>
      <c r="H34" s="2">
        <v>6</v>
      </c>
      <c r="I34" s="5"/>
      <c r="J34" s="1" t="s">
        <v>352</v>
      </c>
    </row>
    <row r="35" spans="1:10" x14ac:dyDescent="0.15">
      <c r="A35" s="1">
        <v>33</v>
      </c>
      <c r="B35" s="1" t="s">
        <v>105</v>
      </c>
      <c r="C35" s="1" t="s">
        <v>106</v>
      </c>
      <c r="D35" s="1" t="s">
        <v>49</v>
      </c>
      <c r="E35" s="1">
        <v>2</v>
      </c>
      <c r="F35" s="2" t="s">
        <v>92</v>
      </c>
      <c r="G35" s="1">
        <v>5.4</v>
      </c>
      <c r="H35" s="1">
        <v>10.8</v>
      </c>
      <c r="J35" s="1" t="s">
        <v>351</v>
      </c>
    </row>
    <row r="36" spans="1:10" x14ac:dyDescent="0.15">
      <c r="A36" s="1">
        <v>34</v>
      </c>
      <c r="B36" s="2" t="s">
        <v>103</v>
      </c>
      <c r="C36" s="2" t="s">
        <v>104</v>
      </c>
      <c r="D36" s="2" t="s">
        <v>49</v>
      </c>
      <c r="E36" s="1">
        <v>4</v>
      </c>
      <c r="F36" s="2" t="s">
        <v>92</v>
      </c>
      <c r="G36" s="2">
        <v>12.3</v>
      </c>
      <c r="H36" s="2">
        <v>49.2</v>
      </c>
      <c r="I36" s="5"/>
      <c r="J36" s="1" t="s">
        <v>350</v>
      </c>
    </row>
    <row r="37" spans="1:10" x14ac:dyDescent="0.15">
      <c r="A37" s="1">
        <v>35</v>
      </c>
      <c r="B37" s="1" t="s">
        <v>101</v>
      </c>
      <c r="C37" s="1" t="s">
        <v>102</v>
      </c>
      <c r="D37" s="1" t="s">
        <v>49</v>
      </c>
      <c r="E37" s="1">
        <v>4</v>
      </c>
      <c r="F37" s="2" t="s">
        <v>92</v>
      </c>
      <c r="G37" s="1">
        <v>2</v>
      </c>
      <c r="H37" s="1">
        <v>8</v>
      </c>
      <c r="J37" s="1" t="s">
        <v>349</v>
      </c>
    </row>
    <row r="38" spans="1:10" x14ac:dyDescent="0.15">
      <c r="A38" s="1">
        <v>36</v>
      </c>
      <c r="B38" s="2" t="s">
        <v>99</v>
      </c>
      <c r="C38" s="2" t="s">
        <v>100</v>
      </c>
      <c r="D38" s="2" t="s">
        <v>49</v>
      </c>
      <c r="E38" s="1">
        <v>4</v>
      </c>
      <c r="F38" s="2" t="s">
        <v>92</v>
      </c>
      <c r="G38" s="2">
        <v>8.3000000000000007</v>
      </c>
      <c r="H38" s="2">
        <v>33.200000000000003</v>
      </c>
      <c r="I38" s="5"/>
      <c r="J38" s="1" t="s">
        <v>348</v>
      </c>
    </row>
    <row r="39" spans="1:10" x14ac:dyDescent="0.15">
      <c r="A39" s="1">
        <v>37</v>
      </c>
      <c r="B39" s="1" t="s">
        <v>176</v>
      </c>
      <c r="C39" s="1" t="s">
        <v>177</v>
      </c>
      <c r="D39" s="1" t="s">
        <v>178</v>
      </c>
      <c r="E39" s="1">
        <v>60</v>
      </c>
      <c r="F39" s="2" t="s">
        <v>92</v>
      </c>
      <c r="G39" s="1">
        <v>0.1</v>
      </c>
      <c r="H39" s="1">
        <v>6</v>
      </c>
      <c r="I39" s="1" t="s">
        <v>804</v>
      </c>
      <c r="J39" s="1" t="s">
        <v>385</v>
      </c>
    </row>
    <row r="40" spans="1:10" x14ac:dyDescent="0.15">
      <c r="A40" s="1">
        <v>38</v>
      </c>
      <c r="B40" s="2" t="s">
        <v>97</v>
      </c>
      <c r="C40" s="2" t="s">
        <v>98</v>
      </c>
      <c r="D40" s="2" t="s">
        <v>49</v>
      </c>
      <c r="E40" s="1">
        <v>4</v>
      </c>
      <c r="F40" s="2" t="s">
        <v>92</v>
      </c>
      <c r="G40" s="2">
        <v>20.3</v>
      </c>
      <c r="H40" s="2">
        <v>81.2</v>
      </c>
      <c r="I40" s="5"/>
      <c r="J40" s="1" t="s">
        <v>347</v>
      </c>
    </row>
    <row r="41" spans="1:10" x14ac:dyDescent="0.15">
      <c r="A41" s="1">
        <v>39</v>
      </c>
      <c r="B41" s="1" t="s">
        <v>174</v>
      </c>
      <c r="C41" s="1" t="s">
        <v>175</v>
      </c>
      <c r="D41" s="1" t="s">
        <v>49</v>
      </c>
      <c r="E41" s="1">
        <v>1</v>
      </c>
      <c r="F41" s="2" t="s">
        <v>92</v>
      </c>
      <c r="G41" s="1">
        <v>25.8</v>
      </c>
      <c r="H41" s="1">
        <v>25.8</v>
      </c>
      <c r="J41" s="1" t="s">
        <v>384</v>
      </c>
    </row>
    <row r="42" spans="1:10" x14ac:dyDescent="0.15">
      <c r="A42" s="1">
        <v>40</v>
      </c>
      <c r="B42" s="1" t="s">
        <v>172</v>
      </c>
      <c r="C42" s="1" t="s">
        <v>173</v>
      </c>
      <c r="D42" s="1" t="s">
        <v>49</v>
      </c>
      <c r="E42" s="1">
        <v>1</v>
      </c>
      <c r="F42" s="2" t="s">
        <v>92</v>
      </c>
      <c r="G42" s="1">
        <v>4.5999999999999996</v>
      </c>
      <c r="H42" s="1">
        <v>4.5999999999999996</v>
      </c>
      <c r="J42" s="1" t="s">
        <v>383</v>
      </c>
    </row>
    <row r="43" spans="1:10" x14ac:dyDescent="0.15">
      <c r="A43" s="1">
        <v>41</v>
      </c>
      <c r="B43" s="1" t="s">
        <v>170</v>
      </c>
      <c r="C43" s="1" t="s">
        <v>171</v>
      </c>
      <c r="D43" s="1" t="s">
        <v>49</v>
      </c>
      <c r="E43" s="1">
        <v>1</v>
      </c>
      <c r="F43" s="2" t="s">
        <v>92</v>
      </c>
      <c r="G43" s="1">
        <v>21.8</v>
      </c>
      <c r="H43" s="1">
        <v>21.8</v>
      </c>
      <c r="J43" s="1" t="s">
        <v>382</v>
      </c>
    </row>
    <row r="44" spans="1:10" x14ac:dyDescent="0.15">
      <c r="A44" s="1">
        <v>42</v>
      </c>
      <c r="B44" s="1" t="s">
        <v>168</v>
      </c>
      <c r="C44" s="1" t="s">
        <v>169</v>
      </c>
      <c r="D44" s="1" t="s">
        <v>49</v>
      </c>
      <c r="E44" s="1">
        <v>1</v>
      </c>
      <c r="F44" s="2" t="s">
        <v>92</v>
      </c>
      <c r="G44" s="1">
        <v>5.1630000000000003</v>
      </c>
      <c r="H44" s="1">
        <v>5.1630000000000003</v>
      </c>
      <c r="J44" s="1" t="s">
        <v>381</v>
      </c>
    </row>
    <row r="45" spans="1:10" x14ac:dyDescent="0.15">
      <c r="A45" s="1">
        <v>43</v>
      </c>
      <c r="B45" s="1" t="s">
        <v>166</v>
      </c>
      <c r="C45" s="1" t="s">
        <v>167</v>
      </c>
      <c r="D45" s="1" t="s">
        <v>49</v>
      </c>
      <c r="E45" s="1">
        <v>1</v>
      </c>
      <c r="F45" s="2" t="s">
        <v>92</v>
      </c>
      <c r="G45" s="1">
        <v>6.8</v>
      </c>
      <c r="H45" s="1">
        <v>6.8</v>
      </c>
      <c r="J45" s="1" t="s">
        <v>380</v>
      </c>
    </row>
    <row r="46" spans="1:10" x14ac:dyDescent="0.15">
      <c r="A46" s="1">
        <v>44</v>
      </c>
      <c r="B46" s="1" t="s">
        <v>164</v>
      </c>
      <c r="C46" s="1" t="s">
        <v>165</v>
      </c>
      <c r="D46" s="1" t="s">
        <v>49</v>
      </c>
      <c r="E46" s="1">
        <v>2</v>
      </c>
      <c r="F46" s="2" t="s">
        <v>92</v>
      </c>
      <c r="G46" s="1">
        <v>4.7</v>
      </c>
      <c r="H46" s="1">
        <v>9.4</v>
      </c>
      <c r="J46" s="1" t="s">
        <v>379</v>
      </c>
    </row>
    <row r="47" spans="1:10" x14ac:dyDescent="0.15">
      <c r="A47" s="1">
        <v>45</v>
      </c>
      <c r="B47" s="1" t="s">
        <v>162</v>
      </c>
      <c r="C47" s="1" t="s">
        <v>163</v>
      </c>
      <c r="D47" s="1" t="s">
        <v>49</v>
      </c>
      <c r="E47" s="1">
        <v>1</v>
      </c>
      <c r="F47" s="2" t="s">
        <v>92</v>
      </c>
      <c r="G47" s="1">
        <v>4.5999999999999996</v>
      </c>
      <c r="H47" s="1">
        <v>4.5999999999999996</v>
      </c>
      <c r="J47" s="1" t="s">
        <v>378</v>
      </c>
    </row>
    <row r="48" spans="1:10" x14ac:dyDescent="0.15">
      <c r="A48" s="1">
        <v>46</v>
      </c>
      <c r="B48" s="1" t="s">
        <v>160</v>
      </c>
      <c r="C48" s="1" t="s">
        <v>161</v>
      </c>
      <c r="D48" s="1" t="s">
        <v>49</v>
      </c>
      <c r="E48" s="1">
        <v>1</v>
      </c>
      <c r="F48" s="2" t="s">
        <v>92</v>
      </c>
      <c r="G48" s="1">
        <v>19.8</v>
      </c>
      <c r="H48" s="1">
        <v>19.8</v>
      </c>
      <c r="J48" s="1" t="s">
        <v>377</v>
      </c>
    </row>
    <row r="49" spans="1:10" x14ac:dyDescent="0.15">
      <c r="A49" s="1">
        <v>47</v>
      </c>
      <c r="B49" s="1" t="s">
        <v>158</v>
      </c>
      <c r="C49" s="1" t="s">
        <v>159</v>
      </c>
      <c r="D49" s="1" t="s">
        <v>49</v>
      </c>
      <c r="E49" s="1">
        <v>1</v>
      </c>
      <c r="F49" s="2" t="s">
        <v>92</v>
      </c>
      <c r="G49" s="1">
        <v>15.9</v>
      </c>
      <c r="H49" s="1">
        <v>15.9</v>
      </c>
      <c r="J49" s="1" t="s">
        <v>376</v>
      </c>
    </row>
    <row r="50" spans="1:10" x14ac:dyDescent="0.15">
      <c r="A50" s="1">
        <v>48</v>
      </c>
      <c r="B50" s="1" t="s">
        <v>156</v>
      </c>
      <c r="C50" s="1" t="s">
        <v>157</v>
      </c>
      <c r="D50" s="1" t="s">
        <v>49</v>
      </c>
      <c r="E50" s="1">
        <v>1</v>
      </c>
      <c r="F50" s="2" t="s">
        <v>92</v>
      </c>
      <c r="G50" s="1">
        <v>26.1</v>
      </c>
      <c r="H50" s="1">
        <v>26.1</v>
      </c>
      <c r="J50" s="1" t="s">
        <v>375</v>
      </c>
    </row>
    <row r="51" spans="1:10" x14ac:dyDescent="0.15">
      <c r="A51" s="1">
        <v>49</v>
      </c>
      <c r="B51" s="2" t="s">
        <v>95</v>
      </c>
      <c r="C51" s="2" t="s">
        <v>96</v>
      </c>
      <c r="D51" s="2" t="s">
        <v>49</v>
      </c>
      <c r="E51" s="1">
        <v>4</v>
      </c>
      <c r="F51" s="2" t="s">
        <v>92</v>
      </c>
      <c r="G51" s="2">
        <v>23.3</v>
      </c>
      <c r="H51" s="2">
        <v>93.2</v>
      </c>
      <c r="I51" s="5"/>
      <c r="J51" s="1" t="s">
        <v>346</v>
      </c>
    </row>
    <row r="52" spans="1:10" x14ac:dyDescent="0.15">
      <c r="A52" s="1">
        <v>50</v>
      </c>
      <c r="B52" s="1" t="s">
        <v>154</v>
      </c>
      <c r="C52" s="1" t="s">
        <v>155</v>
      </c>
      <c r="D52" s="1" t="s">
        <v>49</v>
      </c>
      <c r="E52" s="1">
        <v>1</v>
      </c>
      <c r="F52" s="2" t="s">
        <v>92</v>
      </c>
      <c r="G52" s="1">
        <v>20.6</v>
      </c>
      <c r="H52" s="1">
        <v>20.6</v>
      </c>
      <c r="J52" s="1" t="s">
        <v>374</v>
      </c>
    </row>
    <row r="53" spans="1:10" x14ac:dyDescent="0.15">
      <c r="A53" s="1">
        <v>51</v>
      </c>
      <c r="B53" s="1" t="s">
        <v>152</v>
      </c>
      <c r="C53" s="1" t="s">
        <v>153</v>
      </c>
      <c r="D53" s="1" t="s">
        <v>49</v>
      </c>
      <c r="E53" s="1">
        <v>1</v>
      </c>
      <c r="F53" s="2" t="s">
        <v>92</v>
      </c>
      <c r="G53" s="1">
        <v>44</v>
      </c>
      <c r="H53" s="1">
        <v>44</v>
      </c>
      <c r="J53" s="1" t="s">
        <v>373</v>
      </c>
    </row>
    <row r="54" spans="1:10" x14ac:dyDescent="0.15">
      <c r="A54" s="1">
        <v>52</v>
      </c>
      <c r="B54" s="1" t="s">
        <v>149</v>
      </c>
      <c r="C54" s="1" t="s">
        <v>150</v>
      </c>
      <c r="D54" s="1" t="s">
        <v>151</v>
      </c>
      <c r="E54" s="1">
        <v>8</v>
      </c>
      <c r="F54" s="2" t="s">
        <v>92</v>
      </c>
      <c r="G54" s="1">
        <v>0.3</v>
      </c>
      <c r="H54" s="1">
        <v>2.4</v>
      </c>
      <c r="I54" s="1" t="s">
        <v>804</v>
      </c>
      <c r="J54" s="1" t="s">
        <v>372</v>
      </c>
    </row>
    <row r="55" spans="1:10" x14ac:dyDescent="0.15">
      <c r="A55" s="1">
        <v>53</v>
      </c>
      <c r="B55" s="1" t="s">
        <v>147</v>
      </c>
      <c r="C55" s="1" t="s">
        <v>148</v>
      </c>
      <c r="D55" s="1" t="s">
        <v>49</v>
      </c>
      <c r="E55" s="1">
        <v>2</v>
      </c>
      <c r="F55" s="2" t="s">
        <v>92</v>
      </c>
      <c r="G55" s="1">
        <v>20.5</v>
      </c>
      <c r="H55" s="1">
        <v>41</v>
      </c>
      <c r="J55" s="1" t="s">
        <v>371</v>
      </c>
    </row>
    <row r="56" spans="1:10" x14ac:dyDescent="0.15">
      <c r="A56" s="1">
        <v>54</v>
      </c>
      <c r="B56" s="1" t="s">
        <v>145</v>
      </c>
      <c r="C56" s="1" t="s">
        <v>146</v>
      </c>
      <c r="D56" s="1" t="s">
        <v>49</v>
      </c>
      <c r="E56" s="1">
        <v>2</v>
      </c>
      <c r="F56" s="2" t="s">
        <v>92</v>
      </c>
      <c r="G56" s="1">
        <v>20.399999999999999</v>
      </c>
      <c r="H56" s="1">
        <v>40.799999999999997</v>
      </c>
      <c r="J56" s="1" t="s">
        <v>370</v>
      </c>
    </row>
    <row r="57" spans="1:10" x14ac:dyDescent="0.15">
      <c r="A57" s="1">
        <v>55</v>
      </c>
      <c r="B57" s="1" t="s">
        <v>142</v>
      </c>
      <c r="C57" s="1" t="s">
        <v>143</v>
      </c>
      <c r="D57" s="1" t="s">
        <v>144</v>
      </c>
      <c r="E57" s="1">
        <v>2</v>
      </c>
      <c r="F57" s="2" t="s">
        <v>92</v>
      </c>
      <c r="G57" s="1">
        <v>1.2</v>
      </c>
      <c r="H57" s="1">
        <v>2.4</v>
      </c>
      <c r="I57" s="1" t="s">
        <v>804</v>
      </c>
      <c r="J57" s="1" t="s">
        <v>369</v>
      </c>
    </row>
    <row r="58" spans="1:10" x14ac:dyDescent="0.15">
      <c r="A58" s="1">
        <v>56</v>
      </c>
      <c r="B58" s="1" t="s">
        <v>140</v>
      </c>
      <c r="C58" s="1" t="s">
        <v>141</v>
      </c>
      <c r="D58" s="1" t="s">
        <v>49</v>
      </c>
      <c r="E58" s="1">
        <v>1</v>
      </c>
      <c r="F58" s="2" t="s">
        <v>92</v>
      </c>
      <c r="G58" s="1">
        <v>26.8</v>
      </c>
      <c r="H58" s="1">
        <v>26.8</v>
      </c>
      <c r="J58" s="1" t="s">
        <v>368</v>
      </c>
    </row>
    <row r="59" spans="1:10" x14ac:dyDescent="0.15">
      <c r="A59" s="1">
        <v>57</v>
      </c>
      <c r="B59" s="2" t="s">
        <v>138</v>
      </c>
      <c r="C59" s="2" t="s">
        <v>139</v>
      </c>
      <c r="D59" s="2" t="s">
        <v>49</v>
      </c>
      <c r="E59" s="1">
        <v>5</v>
      </c>
      <c r="F59" s="2" t="s">
        <v>92</v>
      </c>
      <c r="G59" s="2">
        <v>4.9000000000000004</v>
      </c>
      <c r="H59" s="2">
        <v>24.5</v>
      </c>
      <c r="I59" s="5"/>
      <c r="J59" s="1" t="s">
        <v>367</v>
      </c>
    </row>
    <row r="60" spans="1:10" x14ac:dyDescent="0.15">
      <c r="A60" s="1">
        <v>58</v>
      </c>
      <c r="B60" s="2" t="s">
        <v>136</v>
      </c>
      <c r="C60" s="2" t="s">
        <v>137</v>
      </c>
      <c r="D60" s="2" t="s">
        <v>49</v>
      </c>
      <c r="E60" s="1">
        <v>2</v>
      </c>
      <c r="F60" s="2" t="s">
        <v>92</v>
      </c>
      <c r="G60" s="2">
        <v>6.6</v>
      </c>
      <c r="H60" s="2">
        <v>13.2</v>
      </c>
      <c r="I60" s="5"/>
      <c r="J60" s="1" t="s">
        <v>366</v>
      </c>
    </row>
    <row r="61" spans="1:10" x14ac:dyDescent="0.15">
      <c r="A61" s="1">
        <v>59</v>
      </c>
      <c r="B61" s="1" t="s">
        <v>134</v>
      </c>
      <c r="C61" s="1" t="s">
        <v>135</v>
      </c>
      <c r="D61" s="1" t="s">
        <v>49</v>
      </c>
      <c r="E61" s="1">
        <v>1</v>
      </c>
      <c r="F61" s="2" t="s">
        <v>92</v>
      </c>
      <c r="G61" s="1">
        <v>5.2</v>
      </c>
      <c r="H61" s="1">
        <v>5.2</v>
      </c>
      <c r="J61" s="1" t="s">
        <v>365</v>
      </c>
    </row>
    <row r="62" spans="1:10" x14ac:dyDescent="0.15">
      <c r="A62" s="1">
        <v>60</v>
      </c>
      <c r="B62" s="2" t="s">
        <v>93</v>
      </c>
      <c r="C62" s="2" t="s">
        <v>94</v>
      </c>
      <c r="D62" s="2" t="s">
        <v>49</v>
      </c>
      <c r="E62" s="1">
        <v>2</v>
      </c>
      <c r="F62" s="2" t="s">
        <v>92</v>
      </c>
      <c r="G62" s="2">
        <v>5.6</v>
      </c>
      <c r="H62" s="2">
        <v>11.2</v>
      </c>
      <c r="I62" s="5"/>
      <c r="J62" s="1" t="s">
        <v>345</v>
      </c>
    </row>
    <row r="63" spans="1:10" x14ac:dyDescent="0.15">
      <c r="A63" s="1">
        <v>61</v>
      </c>
      <c r="B63" s="2" t="s">
        <v>132</v>
      </c>
      <c r="C63" s="2" t="s">
        <v>133</v>
      </c>
      <c r="D63" s="2" t="s">
        <v>49</v>
      </c>
      <c r="E63" s="1">
        <v>1</v>
      </c>
      <c r="F63" s="2" t="s">
        <v>92</v>
      </c>
      <c r="G63" s="2">
        <v>19.8</v>
      </c>
      <c r="H63" s="2">
        <v>19.8</v>
      </c>
      <c r="I63" s="5"/>
      <c r="J63" s="1" t="s">
        <v>364</v>
      </c>
    </row>
    <row r="64" spans="1:10" x14ac:dyDescent="0.15">
      <c r="A64" s="1">
        <v>62</v>
      </c>
      <c r="B64" s="2" t="s">
        <v>130</v>
      </c>
      <c r="C64" s="2" t="s">
        <v>131</v>
      </c>
      <c r="D64" s="2" t="s">
        <v>49</v>
      </c>
      <c r="E64" s="1">
        <v>1</v>
      </c>
      <c r="F64" s="2" t="s">
        <v>92</v>
      </c>
      <c r="G64" s="2">
        <v>20.6</v>
      </c>
      <c r="H64" s="2">
        <v>20.6</v>
      </c>
      <c r="I64" s="5"/>
      <c r="J64" s="1" t="s">
        <v>363</v>
      </c>
    </row>
    <row r="65" spans="1:10" x14ac:dyDescent="0.15">
      <c r="A65" s="1">
        <v>63</v>
      </c>
      <c r="B65" s="1" t="s">
        <v>128</v>
      </c>
      <c r="C65" s="1" t="s">
        <v>129</v>
      </c>
      <c r="D65" s="1" t="s">
        <v>49</v>
      </c>
      <c r="E65" s="1">
        <v>1</v>
      </c>
      <c r="F65" s="2" t="s">
        <v>92</v>
      </c>
      <c r="G65" s="1">
        <v>6.3</v>
      </c>
      <c r="H65" s="1">
        <v>6.3</v>
      </c>
      <c r="J65" s="1" t="s">
        <v>362</v>
      </c>
    </row>
    <row r="66" spans="1:10" x14ac:dyDescent="0.15">
      <c r="A66" s="1">
        <v>64</v>
      </c>
      <c r="B66" s="2" t="s">
        <v>125</v>
      </c>
      <c r="C66" s="2" t="s">
        <v>126</v>
      </c>
      <c r="D66" s="2" t="s">
        <v>127</v>
      </c>
      <c r="E66" s="1">
        <v>1</v>
      </c>
      <c r="F66" s="2" t="s">
        <v>92</v>
      </c>
      <c r="G66" s="2">
        <v>0.9</v>
      </c>
      <c r="H66" s="2">
        <v>0.9</v>
      </c>
      <c r="I66" s="5" t="s">
        <v>804</v>
      </c>
      <c r="J66" s="1" t="s">
        <v>361</v>
      </c>
    </row>
    <row r="67" spans="1:10" x14ac:dyDescent="0.15">
      <c r="A67" s="1">
        <v>65</v>
      </c>
      <c r="B67" s="2" t="s">
        <v>123</v>
      </c>
      <c r="C67" s="2" t="s">
        <v>124</v>
      </c>
      <c r="D67" s="2" t="s">
        <v>49</v>
      </c>
      <c r="E67" s="1">
        <v>2</v>
      </c>
      <c r="F67" s="2" t="s">
        <v>92</v>
      </c>
      <c r="G67" s="2">
        <v>4.8</v>
      </c>
      <c r="H67" s="2">
        <v>9.6</v>
      </c>
      <c r="I67" s="5"/>
      <c r="J67" s="1" t="s">
        <v>360</v>
      </c>
    </row>
    <row r="68" spans="1:10" x14ac:dyDescent="0.15">
      <c r="A68" s="1">
        <v>66</v>
      </c>
      <c r="B68" s="2" t="s">
        <v>121</v>
      </c>
      <c r="C68" s="2" t="s">
        <v>28</v>
      </c>
      <c r="D68" s="2" t="s">
        <v>122</v>
      </c>
      <c r="E68" s="1">
        <v>8</v>
      </c>
      <c r="F68" s="2" t="s">
        <v>92</v>
      </c>
      <c r="G68" s="2">
        <v>3.7</v>
      </c>
      <c r="H68" s="2">
        <v>29.6</v>
      </c>
      <c r="I68" s="5" t="s">
        <v>804</v>
      </c>
      <c r="J68" s="1" t="s">
        <v>359</v>
      </c>
    </row>
    <row r="69" spans="1:10" x14ac:dyDescent="0.15">
      <c r="A69" s="1">
        <v>67</v>
      </c>
      <c r="B69" s="2" t="s">
        <v>120</v>
      </c>
      <c r="C69" s="2" t="s">
        <v>34</v>
      </c>
      <c r="D69" s="2" t="s">
        <v>49</v>
      </c>
      <c r="E69" s="1">
        <v>4</v>
      </c>
      <c r="F69" s="2" t="s">
        <v>92</v>
      </c>
      <c r="G69" s="2">
        <v>33.5</v>
      </c>
      <c r="H69" s="2">
        <v>134</v>
      </c>
      <c r="I69" s="5"/>
      <c r="J69" s="1" t="s">
        <v>358</v>
      </c>
    </row>
    <row r="70" spans="1:10" x14ac:dyDescent="0.15">
      <c r="A70" s="1">
        <v>68</v>
      </c>
      <c r="B70" s="2" t="s">
        <v>115</v>
      </c>
      <c r="C70" s="2" t="s">
        <v>116</v>
      </c>
      <c r="D70" s="2" t="s">
        <v>49</v>
      </c>
      <c r="E70" s="1">
        <v>4</v>
      </c>
      <c r="F70" s="2" t="s">
        <v>92</v>
      </c>
      <c r="G70" s="2">
        <v>5.3</v>
      </c>
      <c r="H70" s="2">
        <v>21.2</v>
      </c>
      <c r="I70" s="5"/>
      <c r="J70" s="1" t="s">
        <v>356</v>
      </c>
    </row>
    <row r="71" spans="1:10" x14ac:dyDescent="0.15">
      <c r="A71" s="1">
        <v>69</v>
      </c>
      <c r="B71" s="2" t="s">
        <v>113</v>
      </c>
      <c r="C71" s="2" t="s">
        <v>114</v>
      </c>
      <c r="D71" s="2" t="s">
        <v>49</v>
      </c>
      <c r="E71" s="1">
        <v>2</v>
      </c>
      <c r="F71" s="2" t="s">
        <v>92</v>
      </c>
      <c r="G71" s="2">
        <v>22.7</v>
      </c>
      <c r="H71" s="2">
        <v>45.4</v>
      </c>
      <c r="I71" s="5"/>
      <c r="J71" s="1" t="s">
        <v>355</v>
      </c>
    </row>
    <row r="72" spans="1:10" x14ac:dyDescent="0.15">
      <c r="A72" s="1">
        <v>70</v>
      </c>
      <c r="B72" s="2" t="s">
        <v>111</v>
      </c>
      <c r="C72" s="2" t="s">
        <v>112</v>
      </c>
      <c r="D72" s="2" t="s">
        <v>49</v>
      </c>
      <c r="E72" s="1">
        <v>1</v>
      </c>
      <c r="F72" s="2" t="s">
        <v>92</v>
      </c>
      <c r="G72" s="2">
        <v>21</v>
      </c>
      <c r="H72" s="2">
        <v>21</v>
      </c>
      <c r="I72" s="5"/>
      <c r="J72" s="1" t="s">
        <v>354</v>
      </c>
    </row>
    <row r="73" spans="1:10" x14ac:dyDescent="0.15">
      <c r="A73" s="1">
        <v>71</v>
      </c>
      <c r="B73" s="2" t="s">
        <v>109</v>
      </c>
      <c r="C73" s="2" t="s">
        <v>110</v>
      </c>
      <c r="D73" s="2" t="s">
        <v>49</v>
      </c>
      <c r="E73" s="1">
        <v>2</v>
      </c>
      <c r="F73" s="2" t="s">
        <v>92</v>
      </c>
      <c r="G73" s="2">
        <v>16.3</v>
      </c>
      <c r="H73" s="2">
        <v>32.6</v>
      </c>
      <c r="I73" s="5"/>
      <c r="J73" s="1" t="s">
        <v>353</v>
      </c>
    </row>
    <row r="74" spans="1:10" x14ac:dyDescent="0.15">
      <c r="A74" s="1">
        <v>72</v>
      </c>
      <c r="B74" s="1" t="s">
        <v>90</v>
      </c>
      <c r="C74" s="1" t="s">
        <v>91</v>
      </c>
      <c r="D74" s="1" t="s">
        <v>49</v>
      </c>
      <c r="E74" s="1">
        <v>1</v>
      </c>
      <c r="F74" s="2" t="s">
        <v>92</v>
      </c>
      <c r="G74" s="1">
        <v>13.6</v>
      </c>
      <c r="H74" s="1">
        <v>13.6</v>
      </c>
      <c r="J74" s="1" t="s">
        <v>344</v>
      </c>
    </row>
    <row r="75" spans="1:10" x14ac:dyDescent="0.15">
      <c r="A75" s="1">
        <v>73</v>
      </c>
      <c r="B75" s="1" t="s">
        <v>216</v>
      </c>
      <c r="C75" s="1" t="s">
        <v>217</v>
      </c>
      <c r="D75" s="1" t="s">
        <v>218</v>
      </c>
      <c r="E75" s="1">
        <v>2</v>
      </c>
      <c r="F75" s="2" t="s">
        <v>5</v>
      </c>
      <c r="G75" s="1">
        <v>6.9</v>
      </c>
      <c r="H75" s="1">
        <v>13.8</v>
      </c>
      <c r="I75" s="1" t="s">
        <v>804</v>
      </c>
      <c r="J75" s="1" t="s">
        <v>464</v>
      </c>
    </row>
    <row r="76" spans="1:10" x14ac:dyDescent="0.15">
      <c r="A76" s="1">
        <v>74</v>
      </c>
      <c r="B76" s="1" t="s">
        <v>74</v>
      </c>
      <c r="C76" s="1" t="s">
        <v>75</v>
      </c>
      <c r="D76" s="1" t="s">
        <v>215</v>
      </c>
      <c r="E76" s="1">
        <v>4</v>
      </c>
      <c r="F76" s="2" t="s">
        <v>5</v>
      </c>
      <c r="G76" s="1">
        <v>0.2</v>
      </c>
      <c r="H76" s="1">
        <v>0.8</v>
      </c>
      <c r="J76" s="1" t="s">
        <v>463</v>
      </c>
    </row>
    <row r="77" spans="1:10" x14ac:dyDescent="0.15">
      <c r="A77" s="1">
        <v>75</v>
      </c>
      <c r="B77" s="1" t="s">
        <v>70</v>
      </c>
      <c r="C77" s="1" t="s">
        <v>71</v>
      </c>
      <c r="D77" s="1" t="s">
        <v>215</v>
      </c>
      <c r="E77" s="1">
        <v>4</v>
      </c>
      <c r="F77" s="2" t="s">
        <v>5</v>
      </c>
      <c r="G77" s="1">
        <v>0.3</v>
      </c>
      <c r="H77" s="1">
        <v>1.2</v>
      </c>
      <c r="J77" s="1" t="s">
        <v>461</v>
      </c>
    </row>
    <row r="78" spans="1:10" x14ac:dyDescent="0.15">
      <c r="A78" s="1">
        <v>76</v>
      </c>
      <c r="B78" s="1" t="s">
        <v>66</v>
      </c>
      <c r="C78" s="1" t="s">
        <v>67</v>
      </c>
      <c r="D78" s="1" t="s">
        <v>49</v>
      </c>
      <c r="E78" s="1">
        <v>6</v>
      </c>
      <c r="F78" s="2" t="s">
        <v>5</v>
      </c>
      <c r="G78" s="1">
        <v>0.3</v>
      </c>
      <c r="H78" s="1">
        <v>1.7999999999999998</v>
      </c>
      <c r="J78" s="1" t="s">
        <v>443</v>
      </c>
    </row>
    <row r="79" spans="1:10" x14ac:dyDescent="0.15">
      <c r="A79" s="1">
        <v>77</v>
      </c>
      <c r="B79" s="1" t="s">
        <v>212</v>
      </c>
      <c r="C79" s="1" t="s">
        <v>213</v>
      </c>
      <c r="D79" s="1" t="s">
        <v>214</v>
      </c>
      <c r="E79" s="1">
        <v>6</v>
      </c>
      <c r="F79" s="2" t="s">
        <v>5</v>
      </c>
      <c r="G79" s="1">
        <v>0</v>
      </c>
      <c r="H79" s="1">
        <v>0</v>
      </c>
      <c r="I79" s="1" t="s">
        <v>804</v>
      </c>
      <c r="J79" s="1" t="s">
        <v>442</v>
      </c>
    </row>
    <row r="80" spans="1:10" x14ac:dyDescent="0.15">
      <c r="A80" s="1">
        <v>78</v>
      </c>
      <c r="B80" s="1" t="s">
        <v>62</v>
      </c>
      <c r="C80" s="1" t="s">
        <v>63</v>
      </c>
      <c r="D80" s="1" t="s">
        <v>209</v>
      </c>
      <c r="E80" s="1">
        <v>2</v>
      </c>
      <c r="F80" s="2" t="s">
        <v>5</v>
      </c>
      <c r="G80" s="1">
        <v>9.6999999999999993</v>
      </c>
      <c r="H80" s="1">
        <v>19.399999999999999</v>
      </c>
      <c r="J80" s="1" t="s">
        <v>411</v>
      </c>
    </row>
    <row r="81" spans="1:10" x14ac:dyDescent="0.15">
      <c r="A81" s="1">
        <v>79</v>
      </c>
      <c r="B81" s="2" t="s">
        <v>296</v>
      </c>
      <c r="C81" s="2" t="s">
        <v>297</v>
      </c>
      <c r="D81" s="2" t="s">
        <v>249</v>
      </c>
      <c r="E81" s="1">
        <v>1</v>
      </c>
      <c r="F81" s="2" t="s">
        <v>5</v>
      </c>
      <c r="G81" s="2">
        <v>99.9</v>
      </c>
      <c r="H81" s="2">
        <v>99.9</v>
      </c>
      <c r="I81" s="5"/>
      <c r="J81" s="1" t="s">
        <v>295</v>
      </c>
    </row>
    <row r="82" spans="1:10" x14ac:dyDescent="0.15">
      <c r="A82" s="1">
        <v>80</v>
      </c>
      <c r="B82" s="2" t="s">
        <v>293</v>
      </c>
      <c r="C82" s="2" t="s">
        <v>294</v>
      </c>
      <c r="D82" s="2" t="s">
        <v>249</v>
      </c>
      <c r="E82" s="1">
        <v>1</v>
      </c>
      <c r="F82" s="2" t="s">
        <v>5</v>
      </c>
      <c r="G82" s="2">
        <v>113</v>
      </c>
      <c r="H82" s="2">
        <v>113</v>
      </c>
      <c r="I82" s="5"/>
      <c r="J82" s="1" t="s">
        <v>292</v>
      </c>
    </row>
    <row r="83" spans="1:10" x14ac:dyDescent="0.15">
      <c r="A83" s="1">
        <v>81</v>
      </c>
      <c r="B83" s="2" t="s">
        <v>287</v>
      </c>
      <c r="C83" s="2" t="s">
        <v>288</v>
      </c>
      <c r="D83" s="2" t="s">
        <v>249</v>
      </c>
      <c r="E83" s="1">
        <v>3</v>
      </c>
      <c r="F83" s="2" t="s">
        <v>92</v>
      </c>
      <c r="G83" s="2">
        <v>2.6</v>
      </c>
      <c r="H83" s="2">
        <v>7.8000000000000007</v>
      </c>
      <c r="I83" s="5"/>
      <c r="J83" s="1" t="s">
        <v>286</v>
      </c>
    </row>
    <row r="84" spans="1:10" x14ac:dyDescent="0.15">
      <c r="A84" s="1">
        <v>82</v>
      </c>
      <c r="B84" s="2" t="s">
        <v>284</v>
      </c>
      <c r="C84" s="2" t="s">
        <v>285</v>
      </c>
      <c r="D84" s="2" t="s">
        <v>249</v>
      </c>
      <c r="E84" s="1">
        <v>1</v>
      </c>
      <c r="F84" s="2" t="s">
        <v>92</v>
      </c>
      <c r="G84" s="2">
        <v>2.2999999999999998</v>
      </c>
      <c r="H84" s="2">
        <v>2.2999999999999998</v>
      </c>
      <c r="I84" s="5"/>
      <c r="J84" s="1" t="s">
        <v>283</v>
      </c>
    </row>
    <row r="85" spans="1:10" x14ac:dyDescent="0.15">
      <c r="A85" s="1">
        <v>83</v>
      </c>
      <c r="B85" s="2" t="s">
        <v>281</v>
      </c>
      <c r="C85" s="2" t="s">
        <v>282</v>
      </c>
      <c r="D85" s="2" t="s">
        <v>49</v>
      </c>
      <c r="E85" s="1">
        <v>1</v>
      </c>
      <c r="F85" s="2" t="s">
        <v>92</v>
      </c>
      <c r="G85" s="2">
        <v>196</v>
      </c>
      <c r="H85" s="2">
        <v>196</v>
      </c>
      <c r="I85" s="5"/>
      <c r="J85" s="1" t="s">
        <v>280</v>
      </c>
    </row>
    <row r="86" spans="1:10" x14ac:dyDescent="0.15">
      <c r="A86" s="1">
        <v>84</v>
      </c>
      <c r="B86" s="2" t="s">
        <v>278</v>
      </c>
      <c r="C86" s="2" t="s">
        <v>279</v>
      </c>
      <c r="D86" s="2" t="s">
        <v>49</v>
      </c>
      <c r="E86" s="1">
        <v>1</v>
      </c>
      <c r="F86" s="2" t="s">
        <v>92</v>
      </c>
      <c r="G86" s="2">
        <v>168</v>
      </c>
      <c r="H86" s="2">
        <v>168</v>
      </c>
      <c r="I86" s="5"/>
      <c r="J86" s="1" t="s">
        <v>277</v>
      </c>
    </row>
    <row r="87" spans="1:10" x14ac:dyDescent="0.15">
      <c r="A87" s="1">
        <v>85</v>
      </c>
      <c r="B87" s="1" t="s">
        <v>275</v>
      </c>
      <c r="C87" s="1" t="s">
        <v>276</v>
      </c>
      <c r="D87" s="1" t="s">
        <v>49</v>
      </c>
      <c r="E87" s="1">
        <v>2</v>
      </c>
      <c r="F87" s="2" t="s">
        <v>92</v>
      </c>
      <c r="G87" s="1">
        <v>131.6</v>
      </c>
      <c r="H87" s="1">
        <v>263.2</v>
      </c>
      <c r="J87" s="1" t="s">
        <v>274</v>
      </c>
    </row>
    <row r="88" spans="1:10" x14ac:dyDescent="0.15">
      <c r="A88" s="1">
        <v>86</v>
      </c>
      <c r="B88" s="2" t="s">
        <v>272</v>
      </c>
      <c r="C88" s="2" t="s">
        <v>273</v>
      </c>
      <c r="D88" s="2" t="s">
        <v>49</v>
      </c>
      <c r="E88" s="1">
        <v>1</v>
      </c>
      <c r="F88" s="2" t="s">
        <v>92</v>
      </c>
      <c r="G88" s="2">
        <v>73.8</v>
      </c>
      <c r="H88" s="2">
        <v>73.8</v>
      </c>
      <c r="I88" s="5"/>
      <c r="J88" s="1" t="s">
        <v>271</v>
      </c>
    </row>
    <row r="89" spans="1:10" x14ac:dyDescent="0.15">
      <c r="A89" s="1">
        <v>87</v>
      </c>
      <c r="B89" s="2" t="s">
        <v>341</v>
      </c>
      <c r="C89" s="2" t="s">
        <v>342</v>
      </c>
      <c r="D89" s="2" t="s">
        <v>343</v>
      </c>
      <c r="E89" s="1">
        <v>2</v>
      </c>
      <c r="F89" s="2" t="s">
        <v>5</v>
      </c>
      <c r="G89" s="2">
        <v>53.8</v>
      </c>
      <c r="H89" s="2">
        <v>107.6</v>
      </c>
      <c r="I89" s="5"/>
      <c r="J89" s="1" t="s">
        <v>340</v>
      </c>
    </row>
    <row r="90" spans="1:10" x14ac:dyDescent="0.15">
      <c r="A90" s="1">
        <v>88</v>
      </c>
      <c r="B90" s="2" t="s">
        <v>337</v>
      </c>
      <c r="C90" s="2" t="s">
        <v>338</v>
      </c>
      <c r="D90" s="2" t="s">
        <v>339</v>
      </c>
      <c r="E90" s="1">
        <v>4</v>
      </c>
      <c r="F90" s="2" t="s">
        <v>5</v>
      </c>
      <c r="G90" s="2">
        <v>5.8</v>
      </c>
      <c r="H90" s="2">
        <v>23.2</v>
      </c>
      <c r="I90" s="5"/>
      <c r="J90" s="1" t="s">
        <v>336</v>
      </c>
    </row>
    <row r="91" spans="1:10" x14ac:dyDescent="0.15">
      <c r="A91" s="1">
        <v>89</v>
      </c>
      <c r="B91" s="2" t="s">
        <v>334</v>
      </c>
      <c r="C91" s="2" t="s">
        <v>335</v>
      </c>
      <c r="D91" s="2" t="s">
        <v>249</v>
      </c>
      <c r="E91" s="1">
        <v>2</v>
      </c>
      <c r="F91" s="2" t="s">
        <v>5</v>
      </c>
      <c r="G91" s="2">
        <v>28</v>
      </c>
      <c r="H91" s="2">
        <v>56</v>
      </c>
      <c r="I91" s="5"/>
      <c r="J91" s="1" t="s">
        <v>333</v>
      </c>
    </row>
    <row r="92" spans="1:10" x14ac:dyDescent="0.15">
      <c r="A92" s="1">
        <v>90</v>
      </c>
      <c r="B92" s="2" t="s">
        <v>331</v>
      </c>
      <c r="C92" s="2" t="s">
        <v>332</v>
      </c>
      <c r="D92" s="2" t="s">
        <v>249</v>
      </c>
      <c r="E92" s="1">
        <v>2</v>
      </c>
      <c r="F92" s="2" t="s">
        <v>5</v>
      </c>
      <c r="G92" s="2">
        <v>28</v>
      </c>
      <c r="H92" s="2">
        <v>56</v>
      </c>
      <c r="I92" s="5"/>
      <c r="J92" s="1" t="s">
        <v>330</v>
      </c>
    </row>
    <row r="93" spans="1:10" x14ac:dyDescent="0.15">
      <c r="A93" s="1">
        <v>91</v>
      </c>
      <c r="B93" s="2" t="s">
        <v>327</v>
      </c>
      <c r="C93" s="2" t="s">
        <v>328</v>
      </c>
      <c r="D93" s="2" t="s">
        <v>329</v>
      </c>
      <c r="E93" s="1">
        <v>4</v>
      </c>
      <c r="F93" s="2" t="s">
        <v>5</v>
      </c>
      <c r="G93" s="2">
        <v>1</v>
      </c>
      <c r="H93" s="2">
        <v>4</v>
      </c>
      <c r="I93" s="5"/>
      <c r="J93" s="1" t="s">
        <v>326</v>
      </c>
    </row>
    <row r="94" spans="1:10" x14ac:dyDescent="0.15">
      <c r="A94" s="1">
        <v>92</v>
      </c>
      <c r="B94" s="2" t="s">
        <v>323</v>
      </c>
      <c r="C94" s="2" t="s">
        <v>324</v>
      </c>
      <c r="D94" s="2" t="s">
        <v>325</v>
      </c>
      <c r="E94" s="1">
        <v>4</v>
      </c>
      <c r="F94" s="2" t="s">
        <v>5</v>
      </c>
      <c r="G94" s="2">
        <v>0.8</v>
      </c>
      <c r="H94" s="2">
        <v>3.2</v>
      </c>
      <c r="I94" s="5"/>
      <c r="J94" s="1" t="s">
        <v>322</v>
      </c>
    </row>
    <row r="95" spans="1:10" x14ac:dyDescent="0.15">
      <c r="A95" s="1">
        <v>93</v>
      </c>
      <c r="B95" s="2" t="s">
        <v>316</v>
      </c>
      <c r="C95" s="2" t="s">
        <v>317</v>
      </c>
      <c r="D95" s="2" t="s">
        <v>318</v>
      </c>
      <c r="E95" s="1">
        <v>4</v>
      </c>
      <c r="F95" s="2" t="s">
        <v>5</v>
      </c>
      <c r="G95" s="2">
        <v>1.7</v>
      </c>
      <c r="H95" s="2">
        <v>6.8</v>
      </c>
      <c r="I95" s="5" t="s">
        <v>804</v>
      </c>
      <c r="J95" s="1" t="s">
        <v>315</v>
      </c>
    </row>
    <row r="96" spans="1:10" x14ac:dyDescent="0.15">
      <c r="A96" s="1">
        <v>94</v>
      </c>
      <c r="B96" s="2" t="s">
        <v>36</v>
      </c>
      <c r="C96" s="2" t="s">
        <v>28</v>
      </c>
      <c r="D96" s="2" t="s">
        <v>31</v>
      </c>
      <c r="E96" s="1">
        <v>8</v>
      </c>
      <c r="F96" s="2" t="s">
        <v>5</v>
      </c>
      <c r="G96" s="2">
        <v>3.5</v>
      </c>
      <c r="H96" s="2">
        <v>28</v>
      </c>
      <c r="I96" s="5" t="s">
        <v>804</v>
      </c>
      <c r="J96" s="1" t="s">
        <v>314</v>
      </c>
    </row>
    <row r="97" spans="1:10" x14ac:dyDescent="0.15">
      <c r="A97" s="1">
        <v>95</v>
      </c>
      <c r="B97" s="1" t="s">
        <v>33</v>
      </c>
      <c r="C97" s="1" t="s">
        <v>34</v>
      </c>
      <c r="D97" s="1" t="s">
        <v>35</v>
      </c>
      <c r="E97" s="1">
        <v>4</v>
      </c>
      <c r="F97" s="2" t="s">
        <v>5</v>
      </c>
      <c r="G97" s="1">
        <v>35</v>
      </c>
      <c r="H97" s="1">
        <v>140</v>
      </c>
      <c r="J97" s="1" t="s">
        <v>313</v>
      </c>
    </row>
    <row r="98" spans="1:10" x14ac:dyDescent="0.15">
      <c r="A98" s="1">
        <v>96</v>
      </c>
      <c r="B98" s="2" t="s">
        <v>308</v>
      </c>
      <c r="C98" s="2" t="s">
        <v>309</v>
      </c>
      <c r="D98" s="2" t="s">
        <v>49</v>
      </c>
      <c r="E98" s="1">
        <v>6</v>
      </c>
      <c r="F98" s="2" t="s">
        <v>5</v>
      </c>
      <c r="G98" s="2">
        <v>0.1</v>
      </c>
      <c r="H98" s="2">
        <v>0.60000000000000009</v>
      </c>
      <c r="I98" s="5"/>
      <c r="J98" s="1" t="s">
        <v>307</v>
      </c>
    </row>
    <row r="99" spans="1:10" x14ac:dyDescent="0.15">
      <c r="A99" s="1">
        <v>97</v>
      </c>
      <c r="B99" s="2" t="s">
        <v>305</v>
      </c>
      <c r="C99" s="2" t="s">
        <v>306</v>
      </c>
      <c r="D99" s="2" t="s">
        <v>49</v>
      </c>
      <c r="E99" s="1">
        <v>2</v>
      </c>
      <c r="F99" s="2" t="s">
        <v>5</v>
      </c>
      <c r="G99" s="2">
        <v>6.2</v>
      </c>
      <c r="H99" s="2">
        <v>12.4</v>
      </c>
      <c r="I99" s="5"/>
      <c r="J99" s="1" t="s">
        <v>304</v>
      </c>
    </row>
    <row r="100" spans="1:10" x14ac:dyDescent="0.15">
      <c r="A100" s="1">
        <v>98</v>
      </c>
      <c r="B100" s="2" t="s">
        <v>266</v>
      </c>
      <c r="C100" s="2" t="s">
        <v>267</v>
      </c>
      <c r="D100" s="2" t="s">
        <v>249</v>
      </c>
      <c r="E100" s="1">
        <v>2</v>
      </c>
      <c r="F100" s="2" t="s">
        <v>92</v>
      </c>
      <c r="G100" s="2">
        <v>1.6</v>
      </c>
      <c r="H100" s="2">
        <v>3.2</v>
      </c>
      <c r="I100" s="5"/>
      <c r="J100" s="1" t="s">
        <v>265</v>
      </c>
    </row>
    <row r="101" spans="1:10" x14ac:dyDescent="0.15">
      <c r="A101" s="1">
        <v>99</v>
      </c>
      <c r="B101" s="2" t="s">
        <v>263</v>
      </c>
      <c r="C101" s="2" t="s">
        <v>264</v>
      </c>
      <c r="D101" s="2" t="s">
        <v>249</v>
      </c>
      <c r="E101" s="1">
        <v>4</v>
      </c>
      <c r="F101" s="2" t="s">
        <v>92</v>
      </c>
      <c r="G101" s="2">
        <v>0.8</v>
      </c>
      <c r="H101" s="2">
        <v>3.2</v>
      </c>
      <c r="I101" s="5" t="s">
        <v>804</v>
      </c>
      <c r="J101" s="1" t="s">
        <v>262</v>
      </c>
    </row>
    <row r="102" spans="1:10" x14ac:dyDescent="0.15">
      <c r="A102" s="1">
        <v>100</v>
      </c>
      <c r="B102" s="2" t="s">
        <v>260</v>
      </c>
      <c r="C102" s="2" t="s">
        <v>261</v>
      </c>
      <c r="D102" s="2" t="s">
        <v>249</v>
      </c>
      <c r="E102" s="1">
        <v>2</v>
      </c>
      <c r="F102" s="2" t="s">
        <v>92</v>
      </c>
      <c r="G102" s="2">
        <v>1.8</v>
      </c>
      <c r="H102" s="2">
        <v>3.6</v>
      </c>
      <c r="I102" s="5"/>
      <c r="J102" s="1" t="s">
        <v>259</v>
      </c>
    </row>
    <row r="103" spans="1:10" x14ac:dyDescent="0.15">
      <c r="A103" s="1">
        <v>101</v>
      </c>
      <c r="B103" s="2" t="s">
        <v>257</v>
      </c>
      <c r="C103" s="2" t="s">
        <v>258</v>
      </c>
      <c r="D103" s="2" t="s">
        <v>249</v>
      </c>
      <c r="E103" s="1">
        <v>1</v>
      </c>
      <c r="F103" s="2" t="s">
        <v>5</v>
      </c>
      <c r="G103" s="2">
        <v>113</v>
      </c>
      <c r="H103" s="2">
        <v>113</v>
      </c>
      <c r="I103" s="5"/>
      <c r="J103" s="1" t="s">
        <v>256</v>
      </c>
    </row>
    <row r="104" spans="1:10" x14ac:dyDescent="0.15">
      <c r="A104" s="1">
        <v>102</v>
      </c>
      <c r="B104" s="1" t="s">
        <v>254</v>
      </c>
      <c r="C104" s="1" t="s">
        <v>255</v>
      </c>
      <c r="D104" s="1" t="s">
        <v>249</v>
      </c>
      <c r="E104" s="1">
        <v>1</v>
      </c>
      <c r="F104" s="2" t="s">
        <v>5</v>
      </c>
      <c r="G104" s="1">
        <v>99.9</v>
      </c>
      <c r="H104" s="1">
        <v>99.9</v>
      </c>
      <c r="J104" s="1" t="s">
        <v>253</v>
      </c>
    </row>
    <row r="105" spans="1:10" x14ac:dyDescent="0.15">
      <c r="A105" s="1">
        <v>103</v>
      </c>
      <c r="B105" s="2" t="s">
        <v>251</v>
      </c>
      <c r="C105" s="2" t="s">
        <v>252</v>
      </c>
      <c r="D105" s="2" t="s">
        <v>249</v>
      </c>
      <c r="E105" s="1">
        <v>4</v>
      </c>
      <c r="F105" s="2" t="s">
        <v>5</v>
      </c>
      <c r="G105" s="2">
        <v>80.5</v>
      </c>
      <c r="H105" s="2">
        <v>322</v>
      </c>
      <c r="I105" s="5"/>
      <c r="J105" s="1" t="s">
        <v>250</v>
      </c>
    </row>
    <row r="106" spans="1:10" x14ac:dyDescent="0.15">
      <c r="A106" s="1">
        <v>104</v>
      </c>
      <c r="B106" s="1" t="s">
        <v>244</v>
      </c>
      <c r="C106" s="1" t="s">
        <v>245</v>
      </c>
      <c r="D106" s="1" t="s">
        <v>49</v>
      </c>
      <c r="E106" s="1">
        <v>2</v>
      </c>
      <c r="F106" s="2" t="s">
        <v>5</v>
      </c>
      <c r="G106" s="1">
        <v>133.69999999999999</v>
      </c>
      <c r="H106" s="1">
        <v>267.39999999999998</v>
      </c>
      <c r="J106" s="1" t="s">
        <v>243</v>
      </c>
    </row>
    <row r="107" spans="1:10" x14ac:dyDescent="0.15">
      <c r="A107" s="1">
        <v>105</v>
      </c>
      <c r="B107" s="1" t="s">
        <v>796</v>
      </c>
      <c r="C107" s="1" t="s">
        <v>756</v>
      </c>
      <c r="D107" s="1" t="s">
        <v>325</v>
      </c>
      <c r="E107" s="1">
        <v>2</v>
      </c>
      <c r="F107" s="2" t="s">
        <v>5</v>
      </c>
      <c r="G107" s="1">
        <v>0.5</v>
      </c>
      <c r="H107" s="1">
        <v>1</v>
      </c>
      <c r="J107" s="1" t="s">
        <v>795</v>
      </c>
    </row>
    <row r="108" spans="1:10" x14ac:dyDescent="0.15">
      <c r="A108" s="1">
        <v>106</v>
      </c>
      <c r="B108" s="1" t="s">
        <v>786</v>
      </c>
      <c r="C108" s="1" t="s">
        <v>770</v>
      </c>
      <c r="D108" s="1" t="s">
        <v>325</v>
      </c>
      <c r="E108" s="1">
        <v>2</v>
      </c>
      <c r="F108" s="2" t="s">
        <v>5</v>
      </c>
      <c r="G108" s="1">
        <v>3.6</v>
      </c>
      <c r="H108" s="1">
        <v>7.2</v>
      </c>
      <c r="J108" s="1" t="s">
        <v>785</v>
      </c>
    </row>
    <row r="109" spans="1:10" x14ac:dyDescent="0.15">
      <c r="A109" s="1">
        <v>107</v>
      </c>
      <c r="B109" s="1" t="s">
        <v>780</v>
      </c>
      <c r="C109" s="1" t="s">
        <v>770</v>
      </c>
      <c r="D109" s="1" t="s">
        <v>325</v>
      </c>
      <c r="E109" s="1">
        <v>4</v>
      </c>
      <c r="F109" s="2" t="s">
        <v>5</v>
      </c>
      <c r="G109" s="1">
        <v>2.2999999999999998</v>
      </c>
      <c r="H109" s="1">
        <v>9.1999999999999993</v>
      </c>
      <c r="J109" s="1" t="s">
        <v>779</v>
      </c>
    </row>
    <row r="110" spans="1:10" x14ac:dyDescent="0.15">
      <c r="A110" s="1">
        <v>108</v>
      </c>
      <c r="B110" s="1" t="s">
        <v>769</v>
      </c>
      <c r="C110" s="1" t="s">
        <v>770</v>
      </c>
      <c r="D110" s="1" t="s">
        <v>325</v>
      </c>
      <c r="E110" s="1">
        <v>1</v>
      </c>
      <c r="F110" s="2" t="s">
        <v>5</v>
      </c>
      <c r="G110" s="1">
        <v>1.3</v>
      </c>
      <c r="H110" s="1">
        <v>1.3</v>
      </c>
      <c r="J110" s="1" t="s">
        <v>768</v>
      </c>
    </row>
    <row r="111" spans="1:10" x14ac:dyDescent="0.15">
      <c r="A111" s="1">
        <v>109</v>
      </c>
      <c r="B111" s="1" t="s">
        <v>765</v>
      </c>
      <c r="C111" s="1" t="s">
        <v>756</v>
      </c>
      <c r="D111" s="1" t="s">
        <v>325</v>
      </c>
      <c r="E111" s="1">
        <v>1</v>
      </c>
      <c r="F111" s="2" t="s">
        <v>5</v>
      </c>
      <c r="G111" s="1">
        <v>0.4</v>
      </c>
      <c r="H111" s="1">
        <v>0.4</v>
      </c>
      <c r="J111" s="1" t="s">
        <v>764</v>
      </c>
    </row>
    <row r="112" spans="1:10" x14ac:dyDescent="0.15">
      <c r="A112" s="1">
        <v>110</v>
      </c>
      <c r="B112" s="1" t="s">
        <v>763</v>
      </c>
      <c r="C112" s="1" t="s">
        <v>328</v>
      </c>
      <c r="D112" s="1" t="s">
        <v>249</v>
      </c>
      <c r="E112" s="1">
        <v>5</v>
      </c>
      <c r="F112" s="2" t="s">
        <v>5</v>
      </c>
      <c r="G112" s="1">
        <v>0.8</v>
      </c>
      <c r="H112" s="1">
        <v>4</v>
      </c>
      <c r="J112" s="1" t="s">
        <v>762</v>
      </c>
    </row>
    <row r="113" spans="1:10" x14ac:dyDescent="0.15">
      <c r="A113" s="1">
        <v>111</v>
      </c>
      <c r="B113" s="1" t="s">
        <v>755</v>
      </c>
      <c r="C113" s="1" t="s">
        <v>756</v>
      </c>
      <c r="D113" s="1" t="s">
        <v>325</v>
      </c>
      <c r="E113" s="1">
        <v>1</v>
      </c>
      <c r="F113" s="2" t="s">
        <v>5</v>
      </c>
      <c r="G113" s="1">
        <v>0.6</v>
      </c>
      <c r="H113" s="1">
        <v>0.6</v>
      </c>
      <c r="J113" s="1" t="s">
        <v>754</v>
      </c>
    </row>
    <row r="114" spans="1:10" x14ac:dyDescent="0.15">
      <c r="A114" s="1">
        <v>112</v>
      </c>
      <c r="B114" s="1" t="s">
        <v>753</v>
      </c>
      <c r="C114" s="1" t="s">
        <v>328</v>
      </c>
      <c r="D114" s="1" t="s">
        <v>249</v>
      </c>
      <c r="E114" s="1">
        <v>16</v>
      </c>
      <c r="F114" s="2" t="s">
        <v>5</v>
      </c>
      <c r="G114" s="1">
        <v>1</v>
      </c>
      <c r="H114" s="1">
        <v>16</v>
      </c>
      <c r="J114" s="1" t="s">
        <v>752</v>
      </c>
    </row>
    <row r="115" spans="1:10" x14ac:dyDescent="0.15">
      <c r="A115" s="1">
        <v>113</v>
      </c>
      <c r="B115" s="1" t="s">
        <v>749</v>
      </c>
      <c r="C115" s="1" t="s">
        <v>740</v>
      </c>
      <c r="D115" s="1" t="s">
        <v>482</v>
      </c>
      <c r="E115" s="1">
        <v>1</v>
      </c>
      <c r="F115" s="2" t="s">
        <v>5</v>
      </c>
      <c r="G115" s="1">
        <v>0.4</v>
      </c>
      <c r="H115" s="1">
        <v>0.4</v>
      </c>
      <c r="J115" s="1" t="s">
        <v>748</v>
      </c>
    </row>
    <row r="116" spans="1:10" x14ac:dyDescent="0.15">
      <c r="A116" s="1">
        <v>114</v>
      </c>
      <c r="B116" s="1" t="s">
        <v>739</v>
      </c>
      <c r="C116" s="1" t="s">
        <v>740</v>
      </c>
      <c r="D116" s="1" t="s">
        <v>482</v>
      </c>
      <c r="E116" s="1">
        <v>4</v>
      </c>
      <c r="F116" s="2" t="s">
        <v>5</v>
      </c>
      <c r="G116" s="1">
        <v>0.7</v>
      </c>
      <c r="H116" s="1">
        <v>2.8</v>
      </c>
      <c r="J116" s="1" t="s">
        <v>738</v>
      </c>
    </row>
    <row r="117" spans="1:10" x14ac:dyDescent="0.15">
      <c r="A117" s="1">
        <v>115</v>
      </c>
      <c r="B117" s="1" t="s">
        <v>736</v>
      </c>
      <c r="C117" s="1" t="s">
        <v>737</v>
      </c>
      <c r="D117" s="1" t="s">
        <v>343</v>
      </c>
      <c r="E117" s="1">
        <v>6</v>
      </c>
      <c r="F117" s="2" t="s">
        <v>5</v>
      </c>
      <c r="G117" s="1">
        <v>0</v>
      </c>
      <c r="H117" s="1">
        <v>0</v>
      </c>
      <c r="J117" s="1" t="s">
        <v>735</v>
      </c>
    </row>
    <row r="118" spans="1:10" x14ac:dyDescent="0.15">
      <c r="A118" s="1">
        <v>116</v>
      </c>
      <c r="B118" s="1" t="s">
        <v>733</v>
      </c>
      <c r="C118" s="1" t="s">
        <v>734</v>
      </c>
      <c r="D118" s="1" t="s">
        <v>343</v>
      </c>
      <c r="E118" s="1">
        <v>6</v>
      </c>
      <c r="F118" s="2" t="s">
        <v>5</v>
      </c>
      <c r="G118" s="1">
        <v>0.2</v>
      </c>
      <c r="H118" s="1">
        <v>1.2000000000000002</v>
      </c>
      <c r="J118" s="1" t="s">
        <v>732</v>
      </c>
    </row>
    <row r="119" spans="1:10" x14ac:dyDescent="0.15">
      <c r="A119" s="1">
        <v>117</v>
      </c>
      <c r="B119" s="1" t="s">
        <v>712</v>
      </c>
      <c r="C119" s="1" t="s">
        <v>328</v>
      </c>
      <c r="D119" s="1" t="s">
        <v>249</v>
      </c>
      <c r="E119" s="1">
        <v>11</v>
      </c>
      <c r="F119" s="2" t="s">
        <v>5</v>
      </c>
      <c r="G119" s="1">
        <v>1.2</v>
      </c>
      <c r="H119" s="1">
        <v>13.2</v>
      </c>
      <c r="J119" s="1" t="s">
        <v>711</v>
      </c>
    </row>
    <row r="120" spans="1:10" x14ac:dyDescent="0.15">
      <c r="A120" s="1">
        <v>118</v>
      </c>
      <c r="B120" s="1" t="s">
        <v>704</v>
      </c>
      <c r="C120" s="1" t="s">
        <v>559</v>
      </c>
      <c r="D120" s="1" t="s">
        <v>705</v>
      </c>
      <c r="E120" s="1">
        <v>1</v>
      </c>
      <c r="F120" s="2" t="s">
        <v>5</v>
      </c>
      <c r="H120" s="1">
        <v>0</v>
      </c>
      <c r="J120" s="1" t="s">
        <v>703</v>
      </c>
    </row>
    <row r="121" spans="1:10" x14ac:dyDescent="0.15">
      <c r="A121" s="1">
        <v>119</v>
      </c>
      <c r="B121" s="1" t="s">
        <v>701</v>
      </c>
      <c r="C121" s="1" t="s">
        <v>702</v>
      </c>
      <c r="D121" s="1" t="s">
        <v>49</v>
      </c>
      <c r="E121" s="1">
        <v>2</v>
      </c>
      <c r="F121" s="2" t="s">
        <v>5</v>
      </c>
      <c r="H121" s="1">
        <v>0</v>
      </c>
      <c r="J121" s="1" t="s">
        <v>700</v>
      </c>
    </row>
    <row r="122" spans="1:10" x14ac:dyDescent="0.15">
      <c r="A122" s="1">
        <v>120</v>
      </c>
      <c r="B122" s="1" t="s">
        <v>695</v>
      </c>
      <c r="C122" s="1" t="s">
        <v>30</v>
      </c>
      <c r="D122" s="1" t="s">
        <v>697</v>
      </c>
      <c r="E122" s="1">
        <v>1</v>
      </c>
      <c r="F122" s="2" t="s">
        <v>5</v>
      </c>
      <c r="G122" s="1">
        <v>14.9</v>
      </c>
      <c r="H122" s="1">
        <v>14.9</v>
      </c>
      <c r="J122" s="1" t="s">
        <v>696</v>
      </c>
    </row>
    <row r="123" spans="1:10" x14ac:dyDescent="0.15">
      <c r="A123" s="1">
        <v>121</v>
      </c>
      <c r="B123" s="1" t="s">
        <v>688</v>
      </c>
      <c r="C123" s="1" t="s">
        <v>527</v>
      </c>
      <c r="D123" s="1" t="s">
        <v>249</v>
      </c>
      <c r="E123" s="1">
        <v>1</v>
      </c>
      <c r="F123" s="2" t="s">
        <v>5</v>
      </c>
      <c r="H123" s="1">
        <v>0</v>
      </c>
      <c r="J123" s="1" t="s">
        <v>211</v>
      </c>
    </row>
    <row r="124" spans="1:10" x14ac:dyDescent="0.15">
      <c r="A124" s="1">
        <v>122</v>
      </c>
      <c r="B124" s="1" t="s">
        <v>687</v>
      </c>
      <c r="C124" s="1" t="s">
        <v>527</v>
      </c>
      <c r="D124" s="1" t="s">
        <v>249</v>
      </c>
      <c r="E124" s="1">
        <v>1</v>
      </c>
      <c r="F124" s="2" t="s">
        <v>5</v>
      </c>
      <c r="H124" s="1">
        <v>0</v>
      </c>
      <c r="J124" s="1" t="s">
        <v>210</v>
      </c>
    </row>
    <row r="125" spans="1:10" x14ac:dyDescent="0.15">
      <c r="A125" s="1">
        <v>123</v>
      </c>
      <c r="B125" s="1" t="s">
        <v>698</v>
      </c>
      <c r="C125" s="1" t="s">
        <v>699</v>
      </c>
      <c r="E125" s="1">
        <v>1</v>
      </c>
      <c r="F125" s="2" t="s">
        <v>643</v>
      </c>
      <c r="H125" s="1">
        <v>0</v>
      </c>
      <c r="J125" s="1">
        <v>10.7</v>
      </c>
    </row>
    <row r="126" spans="1:10" x14ac:dyDescent="0.15">
      <c r="A126" s="1">
        <v>124</v>
      </c>
      <c r="B126" s="1" t="s">
        <v>695</v>
      </c>
      <c r="C126" s="1" t="s">
        <v>571</v>
      </c>
      <c r="D126" s="1" t="s">
        <v>215</v>
      </c>
      <c r="E126" s="1">
        <v>1</v>
      </c>
      <c r="F126" s="2" t="s">
        <v>5</v>
      </c>
      <c r="G126" s="1">
        <v>14.9</v>
      </c>
      <c r="H126" s="1">
        <v>14.9</v>
      </c>
      <c r="I126" s="1" t="s">
        <v>806</v>
      </c>
      <c r="J126" s="1">
        <v>10.6</v>
      </c>
    </row>
    <row r="127" spans="1:10" x14ac:dyDescent="0.15">
      <c r="A127" s="1">
        <v>125</v>
      </c>
      <c r="B127" s="1" t="s">
        <v>692</v>
      </c>
      <c r="C127" s="1" t="s">
        <v>693</v>
      </c>
      <c r="D127" s="1" t="s">
        <v>694</v>
      </c>
      <c r="E127" s="1">
        <v>1</v>
      </c>
      <c r="F127" s="2" t="s">
        <v>5</v>
      </c>
      <c r="H127" s="1">
        <v>0</v>
      </c>
      <c r="J127" s="1">
        <v>10.5</v>
      </c>
    </row>
    <row r="128" spans="1:10" x14ac:dyDescent="0.15">
      <c r="A128" s="1">
        <v>126</v>
      </c>
      <c r="B128" s="1" t="s">
        <v>689</v>
      </c>
      <c r="C128" s="1" t="s">
        <v>472</v>
      </c>
      <c r="D128" s="1" t="s">
        <v>690</v>
      </c>
      <c r="E128" s="1">
        <v>2</v>
      </c>
      <c r="F128" s="2" t="s">
        <v>511</v>
      </c>
      <c r="H128" s="1">
        <v>0</v>
      </c>
      <c r="I128" s="1" t="s">
        <v>806</v>
      </c>
      <c r="J128" s="1">
        <v>10.3</v>
      </c>
    </row>
    <row r="129" spans="1:10" x14ac:dyDescent="0.15">
      <c r="A129" s="1">
        <v>127</v>
      </c>
      <c r="B129" s="1" t="s">
        <v>663</v>
      </c>
      <c r="C129" s="1" t="s">
        <v>664</v>
      </c>
      <c r="D129" s="1" t="s">
        <v>198</v>
      </c>
      <c r="E129" s="1">
        <v>4</v>
      </c>
      <c r="F129" s="2" t="s">
        <v>5</v>
      </c>
      <c r="G129" s="1">
        <v>4.4000000000000004</v>
      </c>
      <c r="H129" s="1">
        <v>17.600000000000001</v>
      </c>
      <c r="J129" s="1">
        <v>9.1300000000000008</v>
      </c>
    </row>
    <row r="130" spans="1:10" x14ac:dyDescent="0.15">
      <c r="A130" s="1">
        <v>128</v>
      </c>
      <c r="B130" s="1" t="s">
        <v>585</v>
      </c>
      <c r="C130" s="1" t="s">
        <v>472</v>
      </c>
      <c r="E130" s="1">
        <v>2</v>
      </c>
      <c r="F130" s="2" t="s">
        <v>511</v>
      </c>
      <c r="G130" s="1">
        <v>1.236</v>
      </c>
      <c r="H130" s="1">
        <v>2.472</v>
      </c>
      <c r="J130" s="1">
        <v>7.9</v>
      </c>
    </row>
    <row r="131" spans="1:10" x14ac:dyDescent="0.15">
      <c r="A131" s="1">
        <v>129</v>
      </c>
      <c r="B131" s="1" t="s">
        <v>564</v>
      </c>
      <c r="C131" s="1" t="s">
        <v>565</v>
      </c>
      <c r="E131" s="1">
        <v>1</v>
      </c>
      <c r="F131" s="2" t="s">
        <v>119</v>
      </c>
      <c r="G131" s="1">
        <v>10.8</v>
      </c>
      <c r="H131" s="1">
        <v>10.8</v>
      </c>
      <c r="J131" s="1">
        <v>7.5</v>
      </c>
    </row>
    <row r="132" spans="1:10" x14ac:dyDescent="0.15">
      <c r="A132" s="1">
        <v>130</v>
      </c>
      <c r="B132" s="1" t="s">
        <v>555</v>
      </c>
      <c r="C132" s="1" t="s">
        <v>556</v>
      </c>
      <c r="E132" s="1">
        <v>1</v>
      </c>
      <c r="F132" s="2" t="s">
        <v>5</v>
      </c>
      <c r="H132" s="1">
        <v>0</v>
      </c>
      <c r="J132" s="1">
        <v>7.4</v>
      </c>
    </row>
    <row r="133" spans="1:10" x14ac:dyDescent="0.15">
      <c r="A133" s="1">
        <v>131</v>
      </c>
      <c r="B133" s="1" t="s">
        <v>549</v>
      </c>
      <c r="C133" s="1" t="s">
        <v>550</v>
      </c>
      <c r="D133" s="1" t="s">
        <v>551</v>
      </c>
      <c r="E133" s="1">
        <v>1</v>
      </c>
      <c r="F133" s="2" t="s">
        <v>5</v>
      </c>
      <c r="G133" s="1">
        <v>9.8000000000000007</v>
      </c>
      <c r="H133" s="1">
        <v>9.8000000000000007</v>
      </c>
      <c r="J133" s="1">
        <v>7.3</v>
      </c>
    </row>
    <row r="134" spans="1:10" x14ac:dyDescent="0.15">
      <c r="A134" s="1">
        <v>132</v>
      </c>
      <c r="B134" s="2" t="s">
        <v>223</v>
      </c>
      <c r="C134" s="2" t="s">
        <v>224</v>
      </c>
      <c r="D134" s="2" t="s">
        <v>215</v>
      </c>
      <c r="E134" s="1">
        <v>8</v>
      </c>
      <c r="F134" s="2" t="s">
        <v>119</v>
      </c>
      <c r="G134" s="2">
        <v>2.2000000000000002</v>
      </c>
      <c r="H134" s="2">
        <v>17.600000000000001</v>
      </c>
      <c r="I134" s="5"/>
      <c r="J134" s="1">
        <v>2.2000000000000002</v>
      </c>
    </row>
  </sheetData>
  <autoFilter ref="A2:J2">
    <sortState ref="A3:J15">
      <sortCondition ref="B2"/>
    </sortState>
  </autoFilter>
  <sortState ref="A3:J134">
    <sortCondition descending="1" ref="J1:J1048576"/>
    <sortCondition ref="C1:C1048576"/>
    <sortCondition ref="D1:D1048576"/>
    <sortCondition ref="E1:E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64"/>
  <sheetViews>
    <sheetView zoomScale="130" zoomScaleNormal="130" workbookViewId="0">
      <pane ySplit="3" topLeftCell="A4" activePane="bottomLeft" state="frozen"/>
      <selection pane="bottomLeft" activeCell="G7" sqref="G7"/>
    </sheetView>
  </sheetViews>
  <sheetFormatPr defaultRowHeight="13.5" x14ac:dyDescent="0.15"/>
  <cols>
    <col min="1" max="1" width="4.375" style="29" customWidth="1"/>
    <col min="2" max="2" width="23.375" style="33" customWidth="1"/>
    <col min="3" max="3" width="16.625" style="29" customWidth="1"/>
    <col min="4" max="4" width="9.125" style="29" customWidth="1"/>
    <col min="5" max="5" width="10.5" style="29" customWidth="1"/>
    <col min="6" max="6" width="11.375" style="29" customWidth="1"/>
    <col min="7" max="7" width="13.375" style="29" customWidth="1"/>
    <col min="8" max="8" width="12.875" style="29" customWidth="1"/>
    <col min="9" max="9" width="10.5" style="31" customWidth="1"/>
    <col min="10" max="10" width="9" style="29" customWidth="1"/>
    <col min="11" max="16384" width="9" style="29"/>
  </cols>
  <sheetData>
    <row r="1" spans="1:10" ht="40.15" customHeight="1" x14ac:dyDescent="0.15">
      <c r="A1" s="113" t="s">
        <v>39</v>
      </c>
      <c r="B1" s="114"/>
      <c r="C1" s="114"/>
      <c r="D1" s="114"/>
      <c r="E1" s="114"/>
      <c r="F1" s="114"/>
      <c r="G1" s="114"/>
      <c r="H1" s="114"/>
      <c r="I1" s="114"/>
    </row>
    <row r="2" spans="1:10" ht="30" customHeight="1" x14ac:dyDescent="0.15">
      <c r="A2" s="115" t="s">
        <v>807</v>
      </c>
      <c r="B2" s="116"/>
      <c r="C2" s="116"/>
      <c r="D2" s="116"/>
      <c r="E2" s="116"/>
      <c r="F2" s="116"/>
      <c r="G2" s="116"/>
      <c r="H2" s="116"/>
      <c r="I2" s="116"/>
    </row>
    <row r="3" spans="1:10" s="30" customFormat="1" ht="21" customHeight="1" x14ac:dyDescent="0.15">
      <c r="A3" s="26" t="s">
        <v>40</v>
      </c>
      <c r="B3" s="25" t="s">
        <v>48</v>
      </c>
      <c r="C3" s="26" t="s">
        <v>41</v>
      </c>
      <c r="D3" s="26" t="s">
        <v>42</v>
      </c>
      <c r="E3" s="26" t="s">
        <v>43</v>
      </c>
      <c r="F3" s="26" t="s">
        <v>44</v>
      </c>
      <c r="G3" s="26" t="s">
        <v>45</v>
      </c>
      <c r="H3" s="26" t="s">
        <v>46</v>
      </c>
      <c r="I3" s="25" t="s">
        <v>47</v>
      </c>
      <c r="J3" s="16" t="s">
        <v>37</v>
      </c>
    </row>
    <row r="4" spans="1:10" s="30" customFormat="1" ht="19.899999999999999" customHeight="1" x14ac:dyDescent="0.15">
      <c r="A4" s="29">
        <v>1</v>
      </c>
      <c r="B4" s="33" t="s">
        <v>615</v>
      </c>
      <c r="C4" s="29" t="s">
        <v>616</v>
      </c>
      <c r="D4" s="29"/>
      <c r="E4" s="29"/>
      <c r="F4" s="29"/>
      <c r="G4" s="29"/>
      <c r="H4" s="29"/>
      <c r="I4" s="31" t="s">
        <v>800</v>
      </c>
      <c r="J4" s="29">
        <v>8.4</v>
      </c>
    </row>
    <row r="5" spans="1:10" s="30" customFormat="1" ht="19.899999999999999" customHeight="1" x14ac:dyDescent="0.15">
      <c r="A5" s="29">
        <v>2</v>
      </c>
      <c r="B5" s="33" t="s">
        <v>595</v>
      </c>
      <c r="C5" s="29" t="s">
        <v>596</v>
      </c>
      <c r="D5" s="29"/>
      <c r="E5" s="29"/>
      <c r="F5" s="29"/>
      <c r="G5" s="29"/>
      <c r="H5" s="29"/>
      <c r="I5" s="31" t="s">
        <v>800</v>
      </c>
      <c r="J5" s="29" t="s">
        <v>594</v>
      </c>
    </row>
    <row r="6" spans="1:10" s="30" customFormat="1" ht="19.899999999999999" customHeight="1" x14ac:dyDescent="0.15">
      <c r="A6" s="29">
        <v>3</v>
      </c>
      <c r="B6" s="33" t="s">
        <v>592</v>
      </c>
      <c r="C6" s="29" t="s">
        <v>593</v>
      </c>
      <c r="D6" s="29"/>
      <c r="E6" s="29"/>
      <c r="F6" s="29"/>
      <c r="G6" s="29"/>
      <c r="H6" s="29"/>
      <c r="I6" s="31" t="s">
        <v>808</v>
      </c>
      <c r="J6" s="29" t="s">
        <v>591</v>
      </c>
    </row>
    <row r="7" spans="1:10" s="30" customFormat="1" ht="19.899999999999999" customHeight="1" x14ac:dyDescent="0.15">
      <c r="A7" s="29">
        <v>4</v>
      </c>
      <c r="B7" s="33" t="s">
        <v>504</v>
      </c>
      <c r="C7" s="29" t="s">
        <v>505</v>
      </c>
      <c r="D7" s="29"/>
      <c r="E7" s="29"/>
      <c r="F7" s="29"/>
      <c r="G7" s="29"/>
      <c r="H7" s="29"/>
      <c r="I7" s="31"/>
      <c r="J7" s="29" t="s">
        <v>503</v>
      </c>
    </row>
    <row r="8" spans="1:10" s="30" customFormat="1" ht="19.899999999999999" customHeight="1" x14ac:dyDescent="0.15">
      <c r="A8" s="29">
        <v>5</v>
      </c>
      <c r="B8" s="33" t="s">
        <v>504</v>
      </c>
      <c r="C8" s="29" t="s">
        <v>507</v>
      </c>
      <c r="D8" s="29"/>
      <c r="E8" s="29"/>
      <c r="F8" s="29"/>
      <c r="G8" s="29"/>
      <c r="H8" s="29"/>
      <c r="I8" s="31"/>
      <c r="J8" s="29" t="s">
        <v>506</v>
      </c>
    </row>
    <row r="9" spans="1:10" s="30" customFormat="1" ht="19.899999999999999" customHeight="1" x14ac:dyDescent="0.15">
      <c r="A9" s="29">
        <v>6</v>
      </c>
      <c r="B9" s="33" t="s">
        <v>501</v>
      </c>
      <c r="C9" s="29" t="s">
        <v>502</v>
      </c>
      <c r="D9" s="29"/>
      <c r="E9" s="29"/>
      <c r="F9" s="29"/>
      <c r="G9" s="29"/>
      <c r="H9" s="29"/>
      <c r="I9" s="31"/>
      <c r="J9" s="29" t="s">
        <v>500</v>
      </c>
    </row>
    <row r="10" spans="1:10" s="30" customFormat="1" ht="19.899999999999999" customHeight="1" x14ac:dyDescent="0.15">
      <c r="A10" s="29">
        <v>7</v>
      </c>
      <c r="B10" s="33" t="s">
        <v>477</v>
      </c>
      <c r="C10" s="29" t="s">
        <v>476</v>
      </c>
      <c r="D10" s="29"/>
      <c r="E10" s="29"/>
      <c r="F10" s="29"/>
      <c r="G10" s="29"/>
      <c r="H10" s="29"/>
      <c r="I10" s="31" t="s">
        <v>808</v>
      </c>
      <c r="J10" s="29" t="s">
        <v>475</v>
      </c>
    </row>
    <row r="11" spans="1:10" s="30" customFormat="1" ht="19.899999999999999" customHeight="1" x14ac:dyDescent="0.15">
      <c r="A11" s="29">
        <v>8</v>
      </c>
      <c r="B11" s="33" t="s">
        <v>481</v>
      </c>
      <c r="C11" s="29" t="s">
        <v>480</v>
      </c>
      <c r="D11" s="29"/>
      <c r="E11" s="29"/>
      <c r="F11" s="29"/>
      <c r="G11" s="29"/>
      <c r="H11" s="29"/>
      <c r="I11" s="31" t="s">
        <v>808</v>
      </c>
      <c r="J11" s="29" t="s">
        <v>479</v>
      </c>
    </row>
    <row r="12" spans="1:10" s="30" customFormat="1" ht="19.899999999999999" customHeight="1" x14ac:dyDescent="0.15">
      <c r="A12" s="29">
        <v>9</v>
      </c>
      <c r="B12" s="33" t="s">
        <v>599</v>
      </c>
      <c r="C12" s="29" t="s">
        <v>600</v>
      </c>
      <c r="D12" s="29"/>
      <c r="E12" s="29"/>
      <c r="F12" s="29"/>
      <c r="G12" s="29"/>
      <c r="H12" s="29"/>
      <c r="I12" s="31" t="s">
        <v>799</v>
      </c>
      <c r="J12" s="29" t="s">
        <v>598</v>
      </c>
    </row>
    <row r="13" spans="1:10" s="30" customFormat="1" ht="19.899999999999999" customHeight="1" x14ac:dyDescent="0.15">
      <c r="A13" s="29">
        <v>10</v>
      </c>
      <c r="B13" s="33" t="s">
        <v>602</v>
      </c>
      <c r="C13" s="29" t="s">
        <v>603</v>
      </c>
      <c r="D13" s="29"/>
      <c r="E13" s="29"/>
      <c r="F13" s="29"/>
      <c r="G13" s="29"/>
      <c r="H13" s="29"/>
      <c r="I13" s="31" t="s">
        <v>815</v>
      </c>
      <c r="J13" s="29" t="s">
        <v>601</v>
      </c>
    </row>
    <row r="14" spans="1:10" s="30" customFormat="1" ht="19.899999999999999" customHeight="1" x14ac:dyDescent="0.15">
      <c r="A14" s="29">
        <v>11</v>
      </c>
      <c r="B14" s="33" t="s">
        <v>605</v>
      </c>
      <c r="C14" s="29" t="s">
        <v>606</v>
      </c>
      <c r="D14" s="29"/>
      <c r="E14" s="29"/>
      <c r="F14" s="29"/>
      <c r="G14" s="29"/>
      <c r="H14" s="29"/>
      <c r="I14" s="31" t="s">
        <v>808</v>
      </c>
      <c r="J14" s="29" t="s">
        <v>604</v>
      </c>
    </row>
    <row r="15" spans="1:10" s="30" customFormat="1" ht="19.899999999999999" customHeight="1" x14ac:dyDescent="0.15">
      <c r="A15" s="29">
        <v>12</v>
      </c>
      <c r="B15" s="33" t="s">
        <v>608</v>
      </c>
      <c r="C15" s="29" t="s">
        <v>609</v>
      </c>
      <c r="D15" s="29"/>
      <c r="E15" s="29"/>
      <c r="F15" s="29"/>
      <c r="G15" s="29"/>
      <c r="H15" s="29"/>
      <c r="I15" s="31" t="s">
        <v>808</v>
      </c>
      <c r="J15" s="29" t="s">
        <v>607</v>
      </c>
    </row>
    <row r="16" spans="1:10" s="30" customFormat="1" ht="19.899999999999999" customHeight="1" x14ac:dyDescent="0.15">
      <c r="A16" s="29">
        <v>13</v>
      </c>
      <c r="B16" s="33" t="s">
        <v>611</v>
      </c>
      <c r="C16" s="29" t="s">
        <v>515</v>
      </c>
      <c r="D16" s="29"/>
      <c r="E16" s="29"/>
      <c r="F16" s="29"/>
      <c r="G16" s="29"/>
      <c r="H16" s="29"/>
      <c r="I16" s="31" t="s">
        <v>799</v>
      </c>
      <c r="J16" s="29" t="s">
        <v>610</v>
      </c>
    </row>
    <row r="17" spans="1:10" s="30" customFormat="1" ht="19.899999999999999" customHeight="1" x14ac:dyDescent="0.15">
      <c r="A17" s="29">
        <v>14</v>
      </c>
      <c r="B17" s="33" t="s">
        <v>613</v>
      </c>
      <c r="C17" s="29" t="s">
        <v>614</v>
      </c>
      <c r="D17" s="29"/>
      <c r="E17" s="29"/>
      <c r="F17" s="29"/>
      <c r="G17" s="29"/>
      <c r="H17" s="29"/>
      <c r="I17" s="31" t="s">
        <v>808</v>
      </c>
      <c r="J17" s="29" t="s">
        <v>612</v>
      </c>
    </row>
    <row r="18" spans="1:10" s="30" customFormat="1" ht="19.899999999999999" customHeight="1" x14ac:dyDescent="0.15">
      <c r="A18" s="29">
        <v>15</v>
      </c>
      <c r="B18" s="33" t="s">
        <v>517</v>
      </c>
      <c r="C18" s="29" t="s">
        <v>518</v>
      </c>
      <c r="D18" s="29"/>
      <c r="E18" s="29"/>
      <c r="F18" s="29"/>
      <c r="G18" s="29"/>
      <c r="H18" s="29"/>
      <c r="I18" s="31" t="s">
        <v>813</v>
      </c>
      <c r="J18" s="29" t="s">
        <v>516</v>
      </c>
    </row>
    <row r="19" spans="1:10" s="30" customFormat="1" ht="19.899999999999999" customHeight="1" x14ac:dyDescent="0.15">
      <c r="A19" s="29">
        <v>16</v>
      </c>
      <c r="B19" s="33" t="s">
        <v>520</v>
      </c>
      <c r="C19" s="29" t="s">
        <v>521</v>
      </c>
      <c r="D19" s="29"/>
      <c r="E19" s="29"/>
      <c r="F19" s="29"/>
      <c r="G19" s="29"/>
      <c r="H19" s="29"/>
      <c r="I19" s="31" t="s">
        <v>813</v>
      </c>
      <c r="J19" s="29" t="s">
        <v>519</v>
      </c>
    </row>
    <row r="20" spans="1:10" s="30" customFormat="1" ht="19.899999999999999" customHeight="1" x14ac:dyDescent="0.15">
      <c r="A20" s="29">
        <v>17</v>
      </c>
      <c r="B20" s="33" t="s">
        <v>523</v>
      </c>
      <c r="C20" s="29" t="s">
        <v>524</v>
      </c>
      <c r="D20" s="29"/>
      <c r="E20" s="29"/>
      <c r="F20" s="29"/>
      <c r="G20" s="29"/>
      <c r="H20" s="29"/>
      <c r="I20" s="31" t="s">
        <v>814</v>
      </c>
      <c r="J20" s="29" t="s">
        <v>522</v>
      </c>
    </row>
    <row r="21" spans="1:10" s="30" customFormat="1" ht="19.899999999999999" customHeight="1" x14ac:dyDescent="0.15">
      <c r="A21" s="29">
        <v>18</v>
      </c>
      <c r="B21" s="33" t="s">
        <v>791</v>
      </c>
      <c r="C21" s="29" t="s">
        <v>792</v>
      </c>
      <c r="D21" s="29"/>
      <c r="E21" s="29"/>
      <c r="F21" s="29"/>
      <c r="G21" s="29"/>
      <c r="H21" s="29"/>
      <c r="I21" s="31"/>
      <c r="J21" s="29" t="s">
        <v>790</v>
      </c>
    </row>
    <row r="22" spans="1:10" s="30" customFormat="1" ht="19.899999999999999" customHeight="1" x14ac:dyDescent="0.15">
      <c r="A22" s="29">
        <v>19</v>
      </c>
      <c r="B22" s="33" t="s">
        <v>749</v>
      </c>
      <c r="C22" s="29" t="s">
        <v>740</v>
      </c>
      <c r="D22" s="29"/>
      <c r="E22" s="29"/>
      <c r="F22" s="29"/>
      <c r="G22" s="29"/>
      <c r="H22" s="29"/>
      <c r="I22" s="31" t="s">
        <v>808</v>
      </c>
      <c r="J22" s="29" t="s">
        <v>748</v>
      </c>
    </row>
    <row r="23" spans="1:10" s="30" customFormat="1" ht="19.899999999999999" customHeight="1" x14ac:dyDescent="0.15">
      <c r="A23" s="29">
        <v>20</v>
      </c>
      <c r="B23" s="33" t="s">
        <v>739</v>
      </c>
      <c r="C23" s="29" t="s">
        <v>740</v>
      </c>
      <c r="D23" s="29"/>
      <c r="E23" s="29"/>
      <c r="F23" s="29"/>
      <c r="G23" s="29"/>
      <c r="H23" s="29"/>
      <c r="I23" s="31" t="s">
        <v>808</v>
      </c>
      <c r="J23" s="29" t="s">
        <v>738</v>
      </c>
    </row>
    <row r="24" spans="1:10" s="30" customFormat="1" ht="19.899999999999999" customHeight="1" x14ac:dyDescent="0.15">
      <c r="A24" s="29">
        <v>21</v>
      </c>
      <c r="B24" s="33" t="s">
        <v>742</v>
      </c>
      <c r="C24" s="29" t="s">
        <v>743</v>
      </c>
      <c r="D24" s="29"/>
      <c r="E24" s="29"/>
      <c r="F24" s="29"/>
      <c r="G24" s="29"/>
      <c r="H24" s="29"/>
      <c r="I24" s="31" t="s">
        <v>799</v>
      </c>
      <c r="J24" s="29" t="s">
        <v>741</v>
      </c>
    </row>
    <row r="25" spans="1:10" s="30" customFormat="1" ht="19.899999999999999" customHeight="1" x14ac:dyDescent="0.15">
      <c r="A25" s="29">
        <v>22</v>
      </c>
      <c r="B25" s="33" t="s">
        <v>745</v>
      </c>
      <c r="C25" s="29" t="s">
        <v>746</v>
      </c>
      <c r="D25" s="29"/>
      <c r="E25" s="29"/>
      <c r="F25" s="29"/>
      <c r="G25" s="29"/>
      <c r="H25" s="29"/>
      <c r="I25" s="31" t="s">
        <v>799</v>
      </c>
      <c r="J25" s="29" t="s">
        <v>744</v>
      </c>
    </row>
    <row r="26" spans="1:10" s="30" customFormat="1" ht="19.899999999999999" customHeight="1" x14ac:dyDescent="0.15">
      <c r="A26" s="29">
        <v>23</v>
      </c>
      <c r="B26" s="33" t="s">
        <v>736</v>
      </c>
      <c r="C26" s="29" t="s">
        <v>737</v>
      </c>
      <c r="D26" s="29"/>
      <c r="E26" s="29"/>
      <c r="F26" s="29"/>
      <c r="G26" s="29"/>
      <c r="H26" s="29"/>
      <c r="I26" s="31" t="s">
        <v>808</v>
      </c>
      <c r="J26" s="29" t="s">
        <v>735</v>
      </c>
    </row>
    <row r="27" spans="1:10" s="30" customFormat="1" ht="19.899999999999999" customHeight="1" x14ac:dyDescent="0.15">
      <c r="A27" s="29">
        <v>24</v>
      </c>
      <c r="B27" s="33" t="s">
        <v>623</v>
      </c>
      <c r="C27" s="29" t="s">
        <v>624</v>
      </c>
      <c r="D27" s="29"/>
      <c r="E27" s="29"/>
      <c r="F27" s="29"/>
      <c r="G27" s="29"/>
      <c r="H27" s="29"/>
      <c r="I27" s="31" t="s">
        <v>808</v>
      </c>
      <c r="J27" s="29" t="s">
        <v>622</v>
      </c>
    </row>
    <row r="28" spans="1:10" s="30" customFormat="1" ht="19.899999999999999" customHeight="1" x14ac:dyDescent="0.15">
      <c r="A28" s="29">
        <v>25</v>
      </c>
      <c r="B28" s="33" t="s">
        <v>645</v>
      </c>
      <c r="C28" s="29" t="s">
        <v>646</v>
      </c>
      <c r="D28" s="29"/>
      <c r="E28" s="29"/>
      <c r="F28" s="29"/>
      <c r="G28" s="29"/>
      <c r="H28" s="29"/>
      <c r="I28" s="31" t="s">
        <v>808</v>
      </c>
      <c r="J28" s="29" t="s">
        <v>644</v>
      </c>
    </row>
    <row r="29" spans="1:10" s="30" customFormat="1" ht="19.899999999999999" customHeight="1" x14ac:dyDescent="0.15">
      <c r="A29" s="29">
        <v>26</v>
      </c>
      <c r="B29" s="33" t="s">
        <v>733</v>
      </c>
      <c r="C29" s="29" t="s">
        <v>734</v>
      </c>
      <c r="D29" s="29"/>
      <c r="E29" s="29"/>
      <c r="F29" s="29"/>
      <c r="G29" s="29"/>
      <c r="H29" s="29"/>
      <c r="I29" s="31" t="s">
        <v>808</v>
      </c>
      <c r="J29" s="29" t="s">
        <v>732</v>
      </c>
    </row>
    <row r="30" spans="1:10" s="30" customFormat="1" ht="19.899999999999999" customHeight="1" x14ac:dyDescent="0.15">
      <c r="A30" s="29">
        <v>27</v>
      </c>
      <c r="B30" s="33" t="s">
        <v>654</v>
      </c>
      <c r="C30" s="29" t="s">
        <v>642</v>
      </c>
      <c r="D30" s="29"/>
      <c r="E30" s="29"/>
      <c r="F30" s="29"/>
      <c r="G30" s="29"/>
      <c r="H30" s="29"/>
      <c r="I30" s="31"/>
      <c r="J30" s="29">
        <v>9.9</v>
      </c>
    </row>
    <row r="31" spans="1:10" s="30" customFormat="1" ht="19.899999999999999" customHeight="1" x14ac:dyDescent="0.15">
      <c r="A31" s="29">
        <v>28</v>
      </c>
      <c r="B31" s="33" t="s">
        <v>641</v>
      </c>
      <c r="C31" s="29" t="s">
        <v>642</v>
      </c>
      <c r="D31" s="29"/>
      <c r="E31" s="29"/>
      <c r="F31" s="29"/>
      <c r="G31" s="29"/>
      <c r="H31" s="29"/>
      <c r="I31" s="31"/>
      <c r="J31" s="29">
        <v>9.1999999999999993</v>
      </c>
    </row>
    <row r="32" spans="1:10" s="30" customFormat="1" ht="19.899999999999999" customHeight="1" x14ac:dyDescent="0.15">
      <c r="A32" s="29">
        <v>29</v>
      </c>
      <c r="B32" s="33" t="s">
        <v>647</v>
      </c>
      <c r="C32" s="29" t="s">
        <v>642</v>
      </c>
      <c r="D32" s="29"/>
      <c r="E32" s="29"/>
      <c r="F32" s="29"/>
      <c r="G32" s="29"/>
      <c r="H32" s="29"/>
      <c r="I32" s="31"/>
      <c r="J32" s="29">
        <v>9.3000000000000007</v>
      </c>
    </row>
    <row r="33" spans="1:10" s="30" customFormat="1" ht="19.899999999999999" customHeight="1" x14ac:dyDescent="0.15">
      <c r="A33" s="29">
        <v>30</v>
      </c>
      <c r="B33" s="33" t="s">
        <v>651</v>
      </c>
      <c r="C33" s="29" t="s">
        <v>649</v>
      </c>
      <c r="D33" s="29"/>
      <c r="E33" s="29"/>
      <c r="F33" s="29"/>
      <c r="G33" s="29"/>
      <c r="H33" s="29"/>
      <c r="I33" s="31" t="s">
        <v>799</v>
      </c>
      <c r="J33" s="29">
        <v>9.6</v>
      </c>
    </row>
    <row r="34" spans="1:10" s="30" customFormat="1" ht="19.899999999999999" customHeight="1" x14ac:dyDescent="0.15">
      <c r="A34" s="29">
        <v>31</v>
      </c>
      <c r="B34" s="33" t="s">
        <v>650</v>
      </c>
      <c r="C34" s="29" t="s">
        <v>649</v>
      </c>
      <c r="D34" s="29"/>
      <c r="E34" s="29"/>
      <c r="F34" s="29"/>
      <c r="G34" s="29"/>
      <c r="H34" s="29"/>
      <c r="I34" s="31" t="s">
        <v>799</v>
      </c>
      <c r="J34" s="29">
        <v>9.5</v>
      </c>
    </row>
    <row r="35" spans="1:10" s="30" customFormat="1" ht="19.899999999999999" customHeight="1" x14ac:dyDescent="0.15">
      <c r="A35" s="29">
        <v>32</v>
      </c>
      <c r="B35" s="33" t="s">
        <v>648</v>
      </c>
      <c r="C35" s="29" t="s">
        <v>649</v>
      </c>
      <c r="D35" s="29"/>
      <c r="E35" s="29"/>
      <c r="F35" s="29"/>
      <c r="G35" s="29"/>
      <c r="H35" s="29"/>
      <c r="I35" s="31" t="s">
        <v>799</v>
      </c>
      <c r="J35" s="29">
        <v>9.4</v>
      </c>
    </row>
    <row r="36" spans="1:10" s="30" customFormat="1" ht="19.899999999999999" customHeight="1" x14ac:dyDescent="0.15">
      <c r="A36" s="29">
        <v>33</v>
      </c>
      <c r="B36" s="33" t="s">
        <v>653</v>
      </c>
      <c r="C36" s="29" t="s">
        <v>649</v>
      </c>
      <c r="D36" s="29"/>
      <c r="E36" s="29"/>
      <c r="F36" s="29"/>
      <c r="G36" s="29"/>
      <c r="H36" s="29"/>
      <c r="I36" s="31" t="s">
        <v>799</v>
      </c>
      <c r="J36" s="29">
        <v>9.8000000000000007</v>
      </c>
    </row>
    <row r="37" spans="1:10" s="30" customFormat="1" ht="19.899999999999999" customHeight="1" x14ac:dyDescent="0.15">
      <c r="A37" s="29">
        <v>34</v>
      </c>
      <c r="B37" s="33" t="s">
        <v>652</v>
      </c>
      <c r="C37" s="29" t="s">
        <v>649</v>
      </c>
      <c r="D37" s="29"/>
      <c r="E37" s="29"/>
      <c r="F37" s="29"/>
      <c r="G37" s="29"/>
      <c r="H37" s="29"/>
      <c r="I37" s="31" t="s">
        <v>799</v>
      </c>
      <c r="J37" s="29">
        <v>9.6999999999999993</v>
      </c>
    </row>
    <row r="38" spans="1:10" s="30" customFormat="1" ht="19.899999999999999" customHeight="1" x14ac:dyDescent="0.15">
      <c r="A38" s="29">
        <v>35</v>
      </c>
      <c r="B38" s="33" t="s">
        <v>61</v>
      </c>
      <c r="C38" s="29" t="s">
        <v>597</v>
      </c>
      <c r="D38" s="29"/>
      <c r="E38" s="29"/>
      <c r="F38" s="29"/>
      <c r="G38" s="29"/>
      <c r="H38" s="29"/>
      <c r="I38" s="31" t="s">
        <v>801</v>
      </c>
      <c r="J38" s="29">
        <v>8.3000000000000007</v>
      </c>
    </row>
    <row r="39" spans="1:10" s="30" customFormat="1" ht="19.899999999999999" customHeight="1" x14ac:dyDescent="0.15">
      <c r="A39" s="29">
        <v>36</v>
      </c>
      <c r="B39" s="33" t="s">
        <v>728</v>
      </c>
      <c r="C39" s="29" t="s">
        <v>729</v>
      </c>
      <c r="D39" s="29"/>
      <c r="E39" s="29"/>
      <c r="F39" s="29"/>
      <c r="G39" s="29"/>
      <c r="H39" s="29"/>
      <c r="I39" s="31"/>
      <c r="J39" s="29">
        <v>13</v>
      </c>
    </row>
    <row r="40" spans="1:10" s="30" customFormat="1" ht="19.899999999999999" customHeight="1" x14ac:dyDescent="0.15">
      <c r="A40" s="29">
        <v>37</v>
      </c>
      <c r="B40" s="33" t="s">
        <v>750</v>
      </c>
      <c r="C40" s="29" t="s">
        <v>751</v>
      </c>
      <c r="D40" s="29"/>
      <c r="E40" s="29"/>
      <c r="F40" s="29"/>
      <c r="G40" s="29"/>
      <c r="H40" s="29"/>
      <c r="I40" s="31"/>
      <c r="J40" s="29">
        <v>13.3</v>
      </c>
    </row>
    <row r="41" spans="1:10" s="30" customFormat="1" ht="19.899999999999999" customHeight="1" x14ac:dyDescent="0.15">
      <c r="A41" s="29">
        <v>38</v>
      </c>
      <c r="B41" s="33" t="s">
        <v>757</v>
      </c>
      <c r="C41" s="29" t="s">
        <v>758</v>
      </c>
      <c r="D41" s="29"/>
      <c r="E41" s="29"/>
      <c r="F41" s="29"/>
      <c r="G41" s="29"/>
      <c r="H41" s="29"/>
      <c r="I41" s="31"/>
      <c r="J41" s="29">
        <v>13.4</v>
      </c>
    </row>
    <row r="42" spans="1:10" s="30" customFormat="1" ht="19.899999999999999" customHeight="1" x14ac:dyDescent="0.15">
      <c r="A42" s="29">
        <v>39</v>
      </c>
      <c r="B42" s="33" t="s">
        <v>766</v>
      </c>
      <c r="C42" s="29" t="s">
        <v>767</v>
      </c>
      <c r="D42" s="29"/>
      <c r="E42" s="29"/>
      <c r="F42" s="29"/>
      <c r="G42" s="29"/>
      <c r="H42" s="29"/>
      <c r="I42" s="31"/>
      <c r="J42" s="29">
        <v>13.5</v>
      </c>
    </row>
    <row r="43" spans="1:10" s="30" customFormat="1" ht="19.899999999999999" customHeight="1" x14ac:dyDescent="0.15">
      <c r="A43" s="29">
        <v>40</v>
      </c>
      <c r="B43" s="33" t="s">
        <v>773</v>
      </c>
      <c r="C43" s="29" t="s">
        <v>774</v>
      </c>
      <c r="D43" s="29"/>
      <c r="E43" s="29"/>
      <c r="F43" s="29"/>
      <c r="G43" s="29"/>
      <c r="H43" s="29"/>
      <c r="I43" s="31"/>
      <c r="J43" s="29">
        <v>13.6</v>
      </c>
    </row>
    <row r="44" spans="1:10" s="30" customFormat="1" ht="19.899999999999999" customHeight="1" x14ac:dyDescent="0.15">
      <c r="A44" s="29">
        <v>41</v>
      </c>
      <c r="B44" s="33" t="s">
        <v>776</v>
      </c>
      <c r="C44" s="29" t="s">
        <v>777</v>
      </c>
      <c r="D44" s="29"/>
      <c r="E44" s="29"/>
      <c r="F44" s="29"/>
      <c r="G44" s="29"/>
      <c r="H44" s="29"/>
      <c r="I44" s="31"/>
      <c r="J44" s="29">
        <v>13.7</v>
      </c>
    </row>
    <row r="45" spans="1:10" s="30" customFormat="1" ht="19.899999999999999" customHeight="1" x14ac:dyDescent="0.15">
      <c r="A45" s="29">
        <v>42</v>
      </c>
      <c r="B45" s="33" t="s">
        <v>782</v>
      </c>
      <c r="C45" s="29" t="s">
        <v>783</v>
      </c>
      <c r="D45" s="29"/>
      <c r="E45" s="29"/>
      <c r="F45" s="29"/>
      <c r="G45" s="29"/>
      <c r="H45" s="29"/>
      <c r="I45" s="31"/>
      <c r="J45" s="29">
        <v>13.8</v>
      </c>
    </row>
    <row r="46" spans="1:10" s="30" customFormat="1" ht="19.899999999999999" customHeight="1" x14ac:dyDescent="0.15">
      <c r="A46" s="29">
        <v>43</v>
      </c>
      <c r="B46" s="33" t="s">
        <v>788</v>
      </c>
      <c r="C46" s="29" t="s">
        <v>789</v>
      </c>
      <c r="D46" s="29"/>
      <c r="E46" s="29"/>
      <c r="F46" s="29"/>
      <c r="G46" s="29"/>
      <c r="H46" s="29"/>
      <c r="I46" s="31"/>
      <c r="J46" s="29">
        <v>13.9</v>
      </c>
    </row>
    <row r="47" spans="1:10" s="30" customFormat="1" ht="19.899999999999999" customHeight="1" x14ac:dyDescent="0.15">
      <c r="A47" s="29">
        <v>44</v>
      </c>
      <c r="B47" s="33" t="s">
        <v>797</v>
      </c>
      <c r="C47" s="29" t="s">
        <v>798</v>
      </c>
      <c r="D47" s="29"/>
      <c r="E47" s="29"/>
      <c r="F47" s="29"/>
      <c r="G47" s="29"/>
      <c r="H47" s="29"/>
      <c r="I47" s="31"/>
      <c r="J47" s="29">
        <v>14</v>
      </c>
    </row>
    <row r="48" spans="1:10" s="30" customFormat="1" ht="19.899999999999999" customHeight="1" x14ac:dyDescent="0.15">
      <c r="A48" s="29">
        <v>45</v>
      </c>
      <c r="B48" s="33" t="s">
        <v>619</v>
      </c>
      <c r="C48" s="29" t="s">
        <v>620</v>
      </c>
      <c r="D48" s="29"/>
      <c r="E48" s="29"/>
      <c r="F48" s="29"/>
      <c r="G48" s="29"/>
      <c r="H48" s="29"/>
      <c r="I48" s="31" t="s">
        <v>816</v>
      </c>
      <c r="J48" s="29" t="s">
        <v>618</v>
      </c>
    </row>
    <row r="49" spans="1:10" s="30" customFormat="1" ht="19.899999999999999" customHeight="1" x14ac:dyDescent="0.15">
      <c r="A49" s="29">
        <v>46</v>
      </c>
      <c r="B49" s="33" t="s">
        <v>626</v>
      </c>
      <c r="C49" s="29" t="s">
        <v>627</v>
      </c>
      <c r="D49" s="29"/>
      <c r="E49" s="29"/>
      <c r="F49" s="29"/>
      <c r="G49" s="29"/>
      <c r="H49" s="29"/>
      <c r="I49" s="31" t="s">
        <v>816</v>
      </c>
      <c r="J49" s="29" t="s">
        <v>625</v>
      </c>
    </row>
    <row r="50" spans="1:10" s="30" customFormat="1" ht="19.899999999999999" customHeight="1" x14ac:dyDescent="0.15">
      <c r="A50" s="29">
        <v>47</v>
      </c>
      <c r="B50" s="33" t="s">
        <v>630</v>
      </c>
      <c r="C50" s="29" t="s">
        <v>631</v>
      </c>
      <c r="D50" s="29"/>
      <c r="E50" s="29"/>
      <c r="F50" s="29"/>
      <c r="G50" s="29"/>
      <c r="H50" s="29"/>
      <c r="I50" s="31" t="s">
        <v>816</v>
      </c>
      <c r="J50" s="29" t="s">
        <v>629</v>
      </c>
    </row>
    <row r="51" spans="1:10" s="30" customFormat="1" ht="19.899999999999999" customHeight="1" x14ac:dyDescent="0.15">
      <c r="A51" s="29">
        <v>48</v>
      </c>
      <c r="B51" s="33" t="s">
        <v>634</v>
      </c>
      <c r="C51" s="29" t="s">
        <v>635</v>
      </c>
      <c r="D51" s="29"/>
      <c r="E51" s="29"/>
      <c r="F51" s="29"/>
      <c r="G51" s="29"/>
      <c r="H51" s="29"/>
      <c r="I51" s="31" t="s">
        <v>816</v>
      </c>
      <c r="J51" s="29" t="s">
        <v>633</v>
      </c>
    </row>
    <row r="52" spans="1:10" s="30" customFormat="1" ht="19.899999999999999" customHeight="1" x14ac:dyDescent="0.15">
      <c r="A52" s="29">
        <v>49</v>
      </c>
      <c r="B52" s="33" t="s">
        <v>638</v>
      </c>
      <c r="C52" s="29" t="s">
        <v>639</v>
      </c>
      <c r="D52" s="29"/>
      <c r="E52" s="29"/>
      <c r="F52" s="29"/>
      <c r="G52" s="29"/>
      <c r="H52" s="29"/>
      <c r="I52" s="31" t="s">
        <v>816</v>
      </c>
      <c r="J52" s="29" t="s">
        <v>637</v>
      </c>
    </row>
    <row r="53" spans="1:10" s="30" customFormat="1" ht="19.899999999999999" customHeight="1" x14ac:dyDescent="0.15">
      <c r="A53" s="29">
        <v>50</v>
      </c>
      <c r="B53" s="33" t="s">
        <v>656</v>
      </c>
      <c r="C53" s="29" t="s">
        <v>657</v>
      </c>
      <c r="D53" s="29"/>
      <c r="E53" s="29"/>
      <c r="F53" s="29"/>
      <c r="G53" s="29"/>
      <c r="H53" s="29"/>
      <c r="I53" s="31" t="s">
        <v>816</v>
      </c>
      <c r="J53" s="29" t="s">
        <v>655</v>
      </c>
    </row>
    <row r="54" spans="1:10" s="30" customFormat="1" ht="19.899999999999999" customHeight="1" x14ac:dyDescent="0.15">
      <c r="A54" s="29">
        <v>51</v>
      </c>
      <c r="B54" s="33" t="s">
        <v>659</v>
      </c>
      <c r="C54" s="29" t="s">
        <v>232</v>
      </c>
      <c r="D54" s="29"/>
      <c r="E54" s="29"/>
      <c r="F54" s="29"/>
      <c r="G54" s="29"/>
      <c r="H54" s="29"/>
      <c r="I54" s="31"/>
      <c r="J54" s="29" t="s">
        <v>658</v>
      </c>
    </row>
    <row r="55" spans="1:10" s="30" customFormat="1" ht="19.899999999999999" customHeight="1" x14ac:dyDescent="0.15">
      <c r="A55" s="29">
        <v>52</v>
      </c>
      <c r="B55" s="33" t="s">
        <v>661</v>
      </c>
      <c r="C55" s="29" t="s">
        <v>662</v>
      </c>
      <c r="D55" s="29"/>
      <c r="E55" s="29"/>
      <c r="F55" s="29"/>
      <c r="G55" s="29"/>
      <c r="H55" s="29"/>
      <c r="I55" s="31" t="s">
        <v>816</v>
      </c>
      <c r="J55" s="29" t="s">
        <v>660</v>
      </c>
    </row>
    <row r="56" spans="1:10" s="30" customFormat="1" ht="19.899999999999999" customHeight="1" x14ac:dyDescent="0.15">
      <c r="A56" s="29">
        <v>53</v>
      </c>
      <c r="B56" s="33" t="s">
        <v>666</v>
      </c>
      <c r="C56" s="29" t="s">
        <v>617</v>
      </c>
      <c r="D56" s="29"/>
      <c r="E56" s="29"/>
      <c r="F56" s="29"/>
      <c r="G56" s="29"/>
      <c r="H56" s="29"/>
      <c r="I56" s="31"/>
      <c r="J56" s="29" t="s">
        <v>665</v>
      </c>
    </row>
    <row r="57" spans="1:10" s="30" customFormat="1" ht="19.899999999999999" customHeight="1" x14ac:dyDescent="0.15">
      <c r="A57" s="29">
        <v>54</v>
      </c>
      <c r="B57" s="33" t="s">
        <v>668</v>
      </c>
      <c r="C57" s="29" t="s">
        <v>30</v>
      </c>
      <c r="D57" s="29"/>
      <c r="E57" s="29"/>
      <c r="F57" s="29"/>
      <c r="G57" s="29"/>
      <c r="H57" s="29"/>
      <c r="I57" s="31" t="s">
        <v>816</v>
      </c>
      <c r="J57" s="29" t="s">
        <v>667</v>
      </c>
    </row>
    <row r="58" spans="1:10" s="30" customFormat="1" ht="19.899999999999999" customHeight="1" x14ac:dyDescent="0.15">
      <c r="A58" s="29">
        <v>55</v>
      </c>
      <c r="B58" s="33" t="s">
        <v>707</v>
      </c>
      <c r="C58" s="29" t="s">
        <v>708</v>
      </c>
      <c r="D58" s="29"/>
      <c r="E58" s="29"/>
      <c r="F58" s="29"/>
      <c r="G58" s="29"/>
      <c r="H58" s="29"/>
      <c r="I58" s="31" t="s">
        <v>801</v>
      </c>
      <c r="J58" s="29">
        <v>12</v>
      </c>
    </row>
    <row r="59" spans="1:10" s="30" customFormat="1" ht="19.899999999999999" customHeight="1" x14ac:dyDescent="0.15">
      <c r="A59" s="29">
        <v>56</v>
      </c>
      <c r="B59" s="33" t="s">
        <v>709</v>
      </c>
      <c r="C59" s="29" t="s">
        <v>710</v>
      </c>
      <c r="D59" s="29"/>
      <c r="E59" s="29"/>
      <c r="F59" s="29"/>
      <c r="G59" s="29"/>
      <c r="H59" s="29"/>
      <c r="I59" s="31" t="s">
        <v>799</v>
      </c>
      <c r="J59" s="29">
        <v>12.1</v>
      </c>
    </row>
    <row r="60" spans="1:10" s="30" customFormat="1" ht="19.899999999999999" customHeight="1" x14ac:dyDescent="0.15">
      <c r="A60" s="29">
        <v>57</v>
      </c>
      <c r="B60" s="33" t="s">
        <v>714</v>
      </c>
      <c r="C60" s="29" t="s">
        <v>715</v>
      </c>
      <c r="D60" s="29"/>
      <c r="E60" s="29"/>
      <c r="F60" s="29"/>
      <c r="G60" s="29"/>
      <c r="H60" s="29"/>
      <c r="I60" s="31" t="s">
        <v>811</v>
      </c>
      <c r="J60" s="29" t="s">
        <v>713</v>
      </c>
    </row>
    <row r="61" spans="1:10" s="30" customFormat="1" ht="19.899999999999999" customHeight="1" x14ac:dyDescent="0.15">
      <c r="A61" s="29">
        <v>58</v>
      </c>
      <c r="B61" s="33" t="s">
        <v>717</v>
      </c>
      <c r="C61" s="29" t="s">
        <v>718</v>
      </c>
      <c r="D61" s="29"/>
      <c r="E61" s="29"/>
      <c r="F61" s="29"/>
      <c r="G61" s="29"/>
      <c r="H61" s="29"/>
      <c r="I61" s="31" t="s">
        <v>811</v>
      </c>
      <c r="J61" s="29" t="s">
        <v>716</v>
      </c>
    </row>
    <row r="62" spans="1:10" s="30" customFormat="1" ht="19.899999999999999" customHeight="1" x14ac:dyDescent="0.15">
      <c r="A62" s="29">
        <v>59</v>
      </c>
      <c r="B62" s="33" t="s">
        <v>720</v>
      </c>
      <c r="C62" s="29" t="s">
        <v>721</v>
      </c>
      <c r="D62" s="29"/>
      <c r="E62" s="29"/>
      <c r="F62" s="29"/>
      <c r="G62" s="29"/>
      <c r="H62" s="29"/>
      <c r="I62" s="31" t="s">
        <v>811</v>
      </c>
      <c r="J62" s="29" t="s">
        <v>719</v>
      </c>
    </row>
    <row r="63" spans="1:10" s="30" customFormat="1" ht="19.899999999999999" customHeight="1" x14ac:dyDescent="0.15">
      <c r="A63" s="29">
        <v>60</v>
      </c>
      <c r="B63" s="33" t="s">
        <v>722</v>
      </c>
      <c r="C63" s="29" t="s">
        <v>723</v>
      </c>
      <c r="D63" s="29"/>
      <c r="E63" s="29"/>
      <c r="F63" s="29"/>
      <c r="G63" s="29"/>
      <c r="H63" s="29"/>
      <c r="I63" s="31"/>
      <c r="J63" s="29">
        <v>12.3</v>
      </c>
    </row>
    <row r="64" spans="1:10" s="30" customFormat="1" ht="19.899999999999999" customHeight="1" x14ac:dyDescent="0.15">
      <c r="A64" s="29">
        <v>61</v>
      </c>
      <c r="B64" s="33" t="s">
        <v>724</v>
      </c>
      <c r="C64" s="29" t="s">
        <v>225</v>
      </c>
      <c r="D64" s="29"/>
      <c r="E64" s="29"/>
      <c r="F64" s="29"/>
      <c r="G64" s="29"/>
      <c r="H64" s="29"/>
      <c r="I64" s="31"/>
      <c r="J64" s="29">
        <v>12.7</v>
      </c>
    </row>
    <row r="65" spans="1:10" s="30" customFormat="1" ht="19.899999999999999" customHeight="1" x14ac:dyDescent="0.15">
      <c r="A65" s="29">
        <v>62</v>
      </c>
      <c r="B65" s="32" t="s">
        <v>236</v>
      </c>
      <c r="C65" s="27" t="s">
        <v>237</v>
      </c>
      <c r="D65" s="28"/>
      <c r="E65" s="28"/>
      <c r="F65" s="28"/>
      <c r="G65" s="28"/>
      <c r="H65" s="28"/>
      <c r="I65" s="27" t="s">
        <v>801</v>
      </c>
      <c r="J65" s="36">
        <v>5</v>
      </c>
    </row>
    <row r="66" spans="1:10" s="30" customFormat="1" ht="19.899999999999999" customHeight="1" x14ac:dyDescent="0.15">
      <c r="A66" s="29">
        <v>63</v>
      </c>
      <c r="B66" s="32" t="s">
        <v>238</v>
      </c>
      <c r="C66" s="28" t="s">
        <v>239</v>
      </c>
      <c r="D66" s="28"/>
      <c r="E66" s="28"/>
      <c r="F66" s="28"/>
      <c r="G66" s="28"/>
      <c r="H66" s="28"/>
      <c r="I66" s="27"/>
      <c r="J66" s="36">
        <v>5.0999999999999996</v>
      </c>
    </row>
    <row r="67" spans="1:10" s="30" customFormat="1" ht="19.899999999999999" customHeight="1" x14ac:dyDescent="0.15">
      <c r="A67" s="29">
        <v>64</v>
      </c>
      <c r="B67" s="32" t="s">
        <v>241</v>
      </c>
      <c r="C67" s="27" t="s">
        <v>242</v>
      </c>
      <c r="D67" s="28"/>
      <c r="E67" s="28"/>
      <c r="F67" s="28"/>
      <c r="G67" s="28"/>
      <c r="H67" s="28"/>
      <c r="I67" s="27" t="s">
        <v>801</v>
      </c>
      <c r="J67" s="36" t="s">
        <v>240</v>
      </c>
    </row>
    <row r="68" spans="1:10" s="30" customFormat="1" ht="19.899999999999999" customHeight="1" x14ac:dyDescent="0.15">
      <c r="A68" s="29">
        <v>65</v>
      </c>
      <c r="B68" s="32" t="s">
        <v>334</v>
      </c>
      <c r="C68" s="27" t="s">
        <v>335</v>
      </c>
      <c r="D68" s="28"/>
      <c r="E68" s="28"/>
      <c r="F68" s="28"/>
      <c r="G68" s="28"/>
      <c r="H68" s="28"/>
      <c r="I68" s="27" t="s">
        <v>808</v>
      </c>
      <c r="J68" s="36" t="s">
        <v>333</v>
      </c>
    </row>
    <row r="69" spans="1:10" s="30" customFormat="1" ht="19.899999999999999" customHeight="1" x14ac:dyDescent="0.15">
      <c r="A69" s="29">
        <v>66</v>
      </c>
      <c r="B69" s="32" t="s">
        <v>337</v>
      </c>
      <c r="C69" s="28" t="s">
        <v>338</v>
      </c>
      <c r="D69" s="28"/>
      <c r="E69" s="28"/>
      <c r="F69" s="28"/>
      <c r="G69" s="28"/>
      <c r="H69" s="28"/>
      <c r="I69" s="27" t="s">
        <v>808</v>
      </c>
      <c r="J69" s="36" t="s">
        <v>336</v>
      </c>
    </row>
    <row r="70" spans="1:10" s="30" customFormat="1" ht="19.899999999999999" customHeight="1" x14ac:dyDescent="0.15">
      <c r="A70" s="29">
        <v>67</v>
      </c>
      <c r="B70" s="32" t="s">
        <v>244</v>
      </c>
      <c r="C70" s="27" t="s">
        <v>245</v>
      </c>
      <c r="D70" s="28"/>
      <c r="E70" s="28"/>
      <c r="F70" s="28"/>
      <c r="G70" s="28"/>
      <c r="H70" s="28"/>
      <c r="I70" s="27" t="s">
        <v>808</v>
      </c>
      <c r="J70" s="36" t="s">
        <v>243</v>
      </c>
    </row>
    <row r="71" spans="1:10" s="30" customFormat="1" ht="19.899999999999999" customHeight="1" x14ac:dyDescent="0.15">
      <c r="A71" s="29">
        <v>68</v>
      </c>
      <c r="B71" s="32" t="s">
        <v>341</v>
      </c>
      <c r="C71" s="27" t="s">
        <v>342</v>
      </c>
      <c r="D71" s="28"/>
      <c r="E71" s="28"/>
      <c r="F71" s="28"/>
      <c r="G71" s="28"/>
      <c r="H71" s="28"/>
      <c r="I71" s="27" t="s">
        <v>808</v>
      </c>
      <c r="J71" s="36" t="s">
        <v>340</v>
      </c>
    </row>
    <row r="72" spans="1:10" s="30" customFormat="1" ht="19.899999999999999" customHeight="1" x14ac:dyDescent="0.15">
      <c r="A72" s="29">
        <v>69</v>
      </c>
      <c r="B72" s="32" t="s">
        <v>247</v>
      </c>
      <c r="C72" s="27" t="s">
        <v>248</v>
      </c>
      <c r="D72" s="28"/>
      <c r="E72" s="28"/>
      <c r="F72" s="28"/>
      <c r="G72" s="28"/>
      <c r="H72" s="28"/>
      <c r="I72" s="27"/>
      <c r="J72" s="36" t="s">
        <v>246</v>
      </c>
    </row>
    <row r="73" spans="1:10" s="30" customFormat="1" ht="19.899999999999999" customHeight="1" x14ac:dyDescent="0.15">
      <c r="A73" s="29">
        <v>70</v>
      </c>
      <c r="B73" s="32" t="s">
        <v>251</v>
      </c>
      <c r="C73" s="27" t="s">
        <v>252</v>
      </c>
      <c r="D73" s="28"/>
      <c r="E73" s="28"/>
      <c r="F73" s="28"/>
      <c r="G73" s="28"/>
      <c r="H73" s="28"/>
      <c r="I73" s="27" t="s">
        <v>808</v>
      </c>
      <c r="J73" s="36" t="s">
        <v>250</v>
      </c>
    </row>
    <row r="74" spans="1:10" s="30" customFormat="1" ht="19.899999999999999" customHeight="1" x14ac:dyDescent="0.15">
      <c r="A74" s="29">
        <v>71</v>
      </c>
      <c r="B74" s="32" t="s">
        <v>254</v>
      </c>
      <c r="C74" s="27" t="s">
        <v>255</v>
      </c>
      <c r="D74" s="28"/>
      <c r="E74" s="28"/>
      <c r="F74" s="28"/>
      <c r="G74" s="28"/>
      <c r="H74" s="28"/>
      <c r="I74" s="27" t="s">
        <v>808</v>
      </c>
      <c r="J74" s="36" t="s">
        <v>253</v>
      </c>
    </row>
    <row r="75" spans="1:10" s="30" customFormat="1" ht="19.899999999999999" customHeight="1" x14ac:dyDescent="0.15">
      <c r="A75" s="29">
        <v>72</v>
      </c>
      <c r="B75" s="32" t="s">
        <v>257</v>
      </c>
      <c r="C75" s="27" t="s">
        <v>258</v>
      </c>
      <c r="D75" s="28"/>
      <c r="E75" s="28"/>
      <c r="F75" s="28"/>
      <c r="G75" s="28"/>
      <c r="H75" s="28"/>
      <c r="I75" s="27" t="s">
        <v>808</v>
      </c>
      <c r="J75" s="36" t="s">
        <v>256</v>
      </c>
    </row>
    <row r="76" spans="1:10" s="30" customFormat="1" ht="19.899999999999999" customHeight="1" x14ac:dyDescent="0.15">
      <c r="A76" s="29">
        <v>73</v>
      </c>
      <c r="B76" s="32" t="s">
        <v>266</v>
      </c>
      <c r="C76" s="27" t="s">
        <v>267</v>
      </c>
      <c r="D76" s="28"/>
      <c r="E76" s="28"/>
      <c r="F76" s="28"/>
      <c r="G76" s="28"/>
      <c r="H76" s="28"/>
      <c r="I76" s="27" t="s">
        <v>808</v>
      </c>
      <c r="J76" s="36" t="s">
        <v>265</v>
      </c>
    </row>
    <row r="77" spans="1:10" s="30" customFormat="1" ht="19.899999999999999" customHeight="1" x14ac:dyDescent="0.15">
      <c r="A77" s="29">
        <v>74</v>
      </c>
      <c r="B77" s="32" t="s">
        <v>260</v>
      </c>
      <c r="C77" s="28" t="s">
        <v>261</v>
      </c>
      <c r="D77" s="28"/>
      <c r="E77" s="28"/>
      <c r="F77" s="28"/>
      <c r="G77" s="28"/>
      <c r="H77" s="28"/>
      <c r="I77" s="27" t="s">
        <v>808</v>
      </c>
      <c r="J77" s="36" t="s">
        <v>259</v>
      </c>
    </row>
    <row r="78" spans="1:10" s="30" customFormat="1" ht="19.899999999999999" customHeight="1" x14ac:dyDescent="0.15">
      <c r="A78" s="29">
        <v>75</v>
      </c>
      <c r="B78" s="32" t="s">
        <v>269</v>
      </c>
      <c r="C78" s="27" t="s">
        <v>270</v>
      </c>
      <c r="D78" s="28"/>
      <c r="E78" s="28"/>
      <c r="F78" s="28"/>
      <c r="G78" s="28"/>
      <c r="H78" s="28"/>
      <c r="I78" s="27" t="s">
        <v>801</v>
      </c>
      <c r="J78" s="36" t="s">
        <v>268</v>
      </c>
    </row>
    <row r="79" spans="1:10" s="30" customFormat="1" ht="19.899999999999999" customHeight="1" x14ac:dyDescent="0.15">
      <c r="A79" s="29">
        <v>76</v>
      </c>
      <c r="B79" s="32" t="s">
        <v>272</v>
      </c>
      <c r="C79" s="27" t="s">
        <v>273</v>
      </c>
      <c r="D79" s="28"/>
      <c r="E79" s="28"/>
      <c r="F79" s="28"/>
      <c r="G79" s="28"/>
      <c r="H79" s="28"/>
      <c r="I79" s="27" t="s">
        <v>808</v>
      </c>
      <c r="J79" s="36" t="s">
        <v>271</v>
      </c>
    </row>
    <row r="80" spans="1:10" s="30" customFormat="1" ht="19.899999999999999" customHeight="1" x14ac:dyDescent="0.15">
      <c r="A80" s="29">
        <v>77</v>
      </c>
      <c r="B80" s="32" t="s">
        <v>275</v>
      </c>
      <c r="C80" s="27" t="s">
        <v>276</v>
      </c>
      <c r="D80" s="28"/>
      <c r="E80" s="28"/>
      <c r="F80" s="28"/>
      <c r="G80" s="28"/>
      <c r="H80" s="28"/>
      <c r="I80" s="27" t="s">
        <v>808</v>
      </c>
      <c r="J80" s="36" t="s">
        <v>274</v>
      </c>
    </row>
    <row r="81" spans="1:10" s="30" customFormat="1" ht="19.899999999999999" customHeight="1" x14ac:dyDescent="0.15">
      <c r="A81" s="29">
        <v>78</v>
      </c>
      <c r="B81" s="32" t="s">
        <v>278</v>
      </c>
      <c r="C81" s="27" t="s">
        <v>279</v>
      </c>
      <c r="D81" s="28"/>
      <c r="E81" s="28"/>
      <c r="F81" s="28"/>
      <c r="G81" s="28"/>
      <c r="H81" s="28"/>
      <c r="I81" s="27" t="s">
        <v>808</v>
      </c>
      <c r="J81" s="36" t="s">
        <v>277</v>
      </c>
    </row>
    <row r="82" spans="1:10" s="30" customFormat="1" ht="19.899999999999999" customHeight="1" x14ac:dyDescent="0.15">
      <c r="A82" s="29">
        <v>79</v>
      </c>
      <c r="B82" s="32" t="s">
        <v>281</v>
      </c>
      <c r="C82" s="27" t="s">
        <v>282</v>
      </c>
      <c r="D82" s="28"/>
      <c r="E82" s="28"/>
      <c r="F82" s="28"/>
      <c r="G82" s="28"/>
      <c r="H82" s="28"/>
      <c r="I82" s="27" t="s">
        <v>808</v>
      </c>
      <c r="J82" s="36" t="s">
        <v>280</v>
      </c>
    </row>
    <row r="83" spans="1:10" s="30" customFormat="1" ht="19.899999999999999" customHeight="1" x14ac:dyDescent="0.15">
      <c r="A83" s="29">
        <v>80</v>
      </c>
      <c r="B83" s="32" t="s">
        <v>284</v>
      </c>
      <c r="C83" s="27" t="s">
        <v>285</v>
      </c>
      <c r="D83" s="28"/>
      <c r="E83" s="28"/>
      <c r="F83" s="28"/>
      <c r="G83" s="28"/>
      <c r="H83" s="28"/>
      <c r="I83" s="27" t="s">
        <v>808</v>
      </c>
      <c r="J83" s="36" t="s">
        <v>283</v>
      </c>
    </row>
    <row r="84" spans="1:10" s="30" customFormat="1" ht="19.899999999999999" customHeight="1" x14ac:dyDescent="0.15">
      <c r="A84" s="29">
        <v>81</v>
      </c>
      <c r="B84" s="32" t="s">
        <v>287</v>
      </c>
      <c r="C84" s="27" t="s">
        <v>288</v>
      </c>
      <c r="D84" s="28"/>
      <c r="E84" s="28"/>
      <c r="F84" s="28"/>
      <c r="G84" s="28"/>
      <c r="H84" s="28"/>
      <c r="I84" s="27" t="s">
        <v>808</v>
      </c>
      <c r="J84" s="36" t="s">
        <v>286</v>
      </c>
    </row>
    <row r="85" spans="1:10" s="30" customFormat="1" ht="19.899999999999999" customHeight="1" x14ac:dyDescent="0.15">
      <c r="A85" s="29">
        <v>82</v>
      </c>
      <c r="B85" s="32" t="s">
        <v>290</v>
      </c>
      <c r="C85" s="28" t="s">
        <v>291</v>
      </c>
      <c r="D85" s="28"/>
      <c r="E85" s="28"/>
      <c r="F85" s="28"/>
      <c r="G85" s="28"/>
      <c r="H85" s="28"/>
      <c r="I85" s="27" t="s">
        <v>801</v>
      </c>
      <c r="J85" s="36" t="s">
        <v>289</v>
      </c>
    </row>
    <row r="86" spans="1:10" s="30" customFormat="1" ht="19.899999999999999" customHeight="1" x14ac:dyDescent="0.15">
      <c r="A86" s="29">
        <v>83</v>
      </c>
      <c r="B86" s="32" t="s">
        <v>296</v>
      </c>
      <c r="C86" s="27" t="s">
        <v>297</v>
      </c>
      <c r="D86" s="28"/>
      <c r="E86" s="28"/>
      <c r="F86" s="28"/>
      <c r="G86" s="28"/>
      <c r="H86" s="28"/>
      <c r="I86" s="27" t="s">
        <v>808</v>
      </c>
      <c r="J86" s="36" t="s">
        <v>295</v>
      </c>
    </row>
    <row r="87" spans="1:10" s="30" customFormat="1" ht="19.899999999999999" customHeight="1" x14ac:dyDescent="0.15">
      <c r="A87" s="29">
        <v>84</v>
      </c>
      <c r="B87" s="32" t="s">
        <v>293</v>
      </c>
      <c r="C87" s="28" t="s">
        <v>294</v>
      </c>
      <c r="D87" s="28"/>
      <c r="E87" s="28"/>
      <c r="F87" s="28"/>
      <c r="G87" s="28"/>
      <c r="H87" s="28"/>
      <c r="I87" s="27" t="s">
        <v>808</v>
      </c>
      <c r="J87" s="36" t="s">
        <v>292</v>
      </c>
    </row>
    <row r="88" spans="1:10" s="30" customFormat="1" ht="19.899999999999999" customHeight="1" x14ac:dyDescent="0.15">
      <c r="A88" s="29">
        <v>85</v>
      </c>
      <c r="B88" s="32" t="s">
        <v>299</v>
      </c>
      <c r="C88" s="27" t="s">
        <v>300</v>
      </c>
      <c r="D88" s="28"/>
      <c r="E88" s="28"/>
      <c r="F88" s="28"/>
      <c r="G88" s="28"/>
      <c r="H88" s="28"/>
      <c r="I88" s="27"/>
      <c r="J88" s="36" t="s">
        <v>298</v>
      </c>
    </row>
    <row r="89" spans="1:10" s="30" customFormat="1" ht="19.899999999999999" customHeight="1" x14ac:dyDescent="0.15">
      <c r="A89" s="29">
        <v>86</v>
      </c>
      <c r="B89" s="32" t="s">
        <v>302</v>
      </c>
      <c r="C89" s="27" t="s">
        <v>303</v>
      </c>
      <c r="D89" s="28"/>
      <c r="E89" s="28"/>
      <c r="F89" s="28"/>
      <c r="G89" s="28"/>
      <c r="H89" s="28"/>
      <c r="I89" s="27"/>
      <c r="J89" s="36" t="s">
        <v>301</v>
      </c>
    </row>
    <row r="90" spans="1:10" s="30" customFormat="1" ht="19.899999999999999" customHeight="1" x14ac:dyDescent="0.15">
      <c r="A90" s="29">
        <v>87</v>
      </c>
      <c r="B90" s="32" t="s">
        <v>305</v>
      </c>
      <c r="C90" s="28" t="s">
        <v>306</v>
      </c>
      <c r="D90" s="28"/>
      <c r="E90" s="28"/>
      <c r="F90" s="28"/>
      <c r="G90" s="28"/>
      <c r="H90" s="28"/>
      <c r="I90" s="27" t="s">
        <v>808</v>
      </c>
      <c r="J90" s="36" t="s">
        <v>304</v>
      </c>
    </row>
    <row r="91" spans="1:10" s="30" customFormat="1" ht="19.899999999999999" customHeight="1" x14ac:dyDescent="0.15">
      <c r="A91" s="29">
        <v>88</v>
      </c>
      <c r="B91" s="32" t="s">
        <v>308</v>
      </c>
      <c r="C91" s="27" t="s">
        <v>309</v>
      </c>
      <c r="D91" s="28"/>
      <c r="E91" s="28"/>
      <c r="F91" s="28"/>
      <c r="G91" s="28"/>
      <c r="H91" s="28"/>
      <c r="I91" s="27" t="s">
        <v>808</v>
      </c>
      <c r="J91" s="36" t="s">
        <v>307</v>
      </c>
    </row>
    <row r="92" spans="1:10" x14ac:dyDescent="0.15">
      <c r="A92" s="29">
        <v>89</v>
      </c>
      <c r="B92" s="32" t="s">
        <v>311</v>
      </c>
      <c r="C92" s="28" t="s">
        <v>312</v>
      </c>
      <c r="D92" s="28"/>
      <c r="E92" s="28"/>
      <c r="F92" s="28"/>
      <c r="G92" s="28"/>
      <c r="H92" s="28"/>
      <c r="I92" s="27" t="s">
        <v>799</v>
      </c>
      <c r="J92" s="36" t="s">
        <v>310</v>
      </c>
    </row>
    <row r="93" spans="1:10" x14ac:dyDescent="0.15">
      <c r="A93" s="29">
        <v>90</v>
      </c>
      <c r="B93" s="32" t="s">
        <v>33</v>
      </c>
      <c r="C93" s="27" t="s">
        <v>34</v>
      </c>
      <c r="D93" s="28"/>
      <c r="E93" s="28"/>
      <c r="F93" s="28"/>
      <c r="G93" s="28"/>
      <c r="H93" s="28"/>
      <c r="I93" s="27" t="s">
        <v>808</v>
      </c>
      <c r="J93" s="36" t="s">
        <v>313</v>
      </c>
    </row>
    <row r="94" spans="1:10" x14ac:dyDescent="0.15">
      <c r="A94" s="29">
        <v>91</v>
      </c>
      <c r="B94" s="32" t="s">
        <v>320</v>
      </c>
      <c r="C94" s="27" t="s">
        <v>321</v>
      </c>
      <c r="D94" s="28"/>
      <c r="E94" s="28"/>
      <c r="F94" s="28"/>
      <c r="G94" s="28"/>
      <c r="H94" s="28"/>
      <c r="I94" s="27" t="s">
        <v>799</v>
      </c>
      <c r="J94" s="36" t="s">
        <v>319</v>
      </c>
    </row>
    <row r="95" spans="1:10" x14ac:dyDescent="0.15">
      <c r="A95" s="29">
        <v>92</v>
      </c>
      <c r="B95" s="32" t="s">
        <v>323</v>
      </c>
      <c r="C95" s="27" t="s">
        <v>324</v>
      </c>
      <c r="D95" s="28"/>
      <c r="E95" s="28"/>
      <c r="F95" s="28"/>
      <c r="G95" s="28"/>
      <c r="H95" s="28"/>
      <c r="I95" s="27" t="s">
        <v>808</v>
      </c>
      <c r="J95" s="36" t="s">
        <v>322</v>
      </c>
    </row>
    <row r="96" spans="1:10" x14ac:dyDescent="0.15">
      <c r="A96" s="29">
        <v>93</v>
      </c>
      <c r="B96" s="32" t="s">
        <v>327</v>
      </c>
      <c r="C96" s="28" t="s">
        <v>328</v>
      </c>
      <c r="D96" s="28"/>
      <c r="E96" s="28"/>
      <c r="F96" s="28"/>
      <c r="G96" s="28"/>
      <c r="H96" s="28"/>
      <c r="I96" s="27" t="s">
        <v>808</v>
      </c>
      <c r="J96" s="36" t="s">
        <v>326</v>
      </c>
    </row>
    <row r="97" spans="1:10" x14ac:dyDescent="0.15">
      <c r="A97" s="29">
        <v>94</v>
      </c>
      <c r="B97" s="32" t="s">
        <v>331</v>
      </c>
      <c r="C97" s="27" t="s">
        <v>332</v>
      </c>
      <c r="D97" s="28"/>
      <c r="E97" s="28"/>
      <c r="F97" s="28"/>
      <c r="G97" s="28"/>
      <c r="H97" s="28"/>
      <c r="I97" s="27" t="s">
        <v>808</v>
      </c>
      <c r="J97" s="36" t="s">
        <v>330</v>
      </c>
    </row>
    <row r="98" spans="1:10" x14ac:dyDescent="0.15">
      <c r="A98" s="29">
        <v>95</v>
      </c>
      <c r="B98" s="33" t="s">
        <v>409</v>
      </c>
      <c r="C98" s="29" t="s">
        <v>410</v>
      </c>
      <c r="I98" s="31" t="s">
        <v>799</v>
      </c>
      <c r="J98" s="29">
        <v>5.0999999999999996</v>
      </c>
    </row>
    <row r="99" spans="1:10" x14ac:dyDescent="0.15">
      <c r="A99" s="29">
        <v>96</v>
      </c>
      <c r="B99" s="33" t="s">
        <v>62</v>
      </c>
      <c r="C99" s="29" t="s">
        <v>63</v>
      </c>
      <c r="I99" s="31" t="s">
        <v>808</v>
      </c>
      <c r="J99" s="29" t="s">
        <v>411</v>
      </c>
    </row>
    <row r="100" spans="1:10" x14ac:dyDescent="0.15">
      <c r="A100" s="29">
        <v>97</v>
      </c>
      <c r="B100" s="33" t="s">
        <v>64</v>
      </c>
      <c r="C100" s="29" t="s">
        <v>65</v>
      </c>
      <c r="I100" s="31" t="s">
        <v>801</v>
      </c>
      <c r="J100" s="29">
        <v>5.1100000000000003</v>
      </c>
    </row>
    <row r="101" spans="1:10" x14ac:dyDescent="0.15">
      <c r="A101" s="29">
        <v>98</v>
      </c>
      <c r="B101" s="33" t="s">
        <v>413</v>
      </c>
      <c r="C101" s="29" t="s">
        <v>414</v>
      </c>
      <c r="J101" s="29" t="s">
        <v>412</v>
      </c>
    </row>
    <row r="102" spans="1:10" x14ac:dyDescent="0.15">
      <c r="A102" s="29">
        <v>99</v>
      </c>
      <c r="B102" s="33" t="s">
        <v>417</v>
      </c>
      <c r="C102" s="29" t="s">
        <v>416</v>
      </c>
      <c r="I102" s="31" t="s">
        <v>811</v>
      </c>
      <c r="J102" s="29" t="s">
        <v>415</v>
      </c>
    </row>
    <row r="103" spans="1:10" x14ac:dyDescent="0.15">
      <c r="A103" s="29">
        <v>100</v>
      </c>
      <c r="B103" s="33" t="s">
        <v>420</v>
      </c>
      <c r="C103" s="29" t="s">
        <v>419</v>
      </c>
      <c r="I103" s="31" t="s">
        <v>811</v>
      </c>
      <c r="J103" s="29" t="s">
        <v>418</v>
      </c>
    </row>
    <row r="104" spans="1:10" x14ac:dyDescent="0.15">
      <c r="A104" s="29">
        <v>101</v>
      </c>
      <c r="B104" s="33" t="s">
        <v>423</v>
      </c>
      <c r="C104" s="29" t="s">
        <v>422</v>
      </c>
      <c r="I104" s="31" t="s">
        <v>811</v>
      </c>
      <c r="J104" s="29" t="s">
        <v>421</v>
      </c>
    </row>
    <row r="105" spans="1:10" x14ac:dyDescent="0.15">
      <c r="A105" s="29">
        <v>102</v>
      </c>
      <c r="B105" s="33" t="s">
        <v>426</v>
      </c>
      <c r="C105" s="29" t="s">
        <v>425</v>
      </c>
      <c r="I105" s="31" t="s">
        <v>811</v>
      </c>
      <c r="J105" s="29" t="s">
        <v>424</v>
      </c>
    </row>
    <row r="106" spans="1:10" x14ac:dyDescent="0.15">
      <c r="A106" s="29">
        <v>103</v>
      </c>
      <c r="B106" s="33" t="s">
        <v>429</v>
      </c>
      <c r="C106" s="29" t="s">
        <v>428</v>
      </c>
      <c r="I106" s="31" t="s">
        <v>810</v>
      </c>
      <c r="J106" s="29" t="s">
        <v>427</v>
      </c>
    </row>
    <row r="107" spans="1:10" x14ac:dyDescent="0.15">
      <c r="A107" s="29">
        <v>104</v>
      </c>
      <c r="B107" s="33" t="s">
        <v>431</v>
      </c>
      <c r="C107" s="29" t="s">
        <v>432</v>
      </c>
      <c r="I107" s="31" t="s">
        <v>799</v>
      </c>
      <c r="J107" s="29" t="s">
        <v>430</v>
      </c>
    </row>
    <row r="108" spans="1:10" x14ac:dyDescent="0.15">
      <c r="A108" s="29">
        <v>105</v>
      </c>
      <c r="B108" s="33" t="s">
        <v>434</v>
      </c>
      <c r="C108" s="29" t="s">
        <v>435</v>
      </c>
      <c r="I108" s="31" t="s">
        <v>810</v>
      </c>
      <c r="J108" s="29" t="s">
        <v>433</v>
      </c>
    </row>
    <row r="109" spans="1:10" x14ac:dyDescent="0.15">
      <c r="A109" s="29">
        <v>106</v>
      </c>
      <c r="B109" s="33" t="s">
        <v>437</v>
      </c>
      <c r="C109" s="29" t="s">
        <v>438</v>
      </c>
      <c r="I109" s="31" t="s">
        <v>811</v>
      </c>
      <c r="J109" s="29" t="s">
        <v>436</v>
      </c>
    </row>
    <row r="110" spans="1:10" x14ac:dyDescent="0.15">
      <c r="A110" s="29">
        <v>107</v>
      </c>
      <c r="B110" s="33" t="s">
        <v>440</v>
      </c>
      <c r="C110" s="29" t="s">
        <v>441</v>
      </c>
      <c r="I110" s="31" t="s">
        <v>811</v>
      </c>
      <c r="J110" s="29" t="s">
        <v>439</v>
      </c>
    </row>
    <row r="111" spans="1:10" x14ac:dyDescent="0.15">
      <c r="A111" s="29">
        <v>108</v>
      </c>
      <c r="B111" s="33" t="s">
        <v>66</v>
      </c>
      <c r="C111" s="29" t="s">
        <v>67</v>
      </c>
      <c r="I111" s="31" t="s">
        <v>808</v>
      </c>
      <c r="J111" s="29" t="s">
        <v>443</v>
      </c>
    </row>
    <row r="112" spans="1:10" x14ac:dyDescent="0.15">
      <c r="A112" s="29">
        <v>109</v>
      </c>
      <c r="B112" s="33" t="s">
        <v>444</v>
      </c>
      <c r="C112" s="29" t="s">
        <v>445</v>
      </c>
      <c r="I112" s="31" t="s">
        <v>801</v>
      </c>
      <c r="J112" s="29">
        <v>5.12</v>
      </c>
    </row>
    <row r="113" spans="1:10" x14ac:dyDescent="0.15">
      <c r="A113" s="29">
        <v>110</v>
      </c>
      <c r="B113" s="33" t="s">
        <v>447</v>
      </c>
      <c r="C113" s="29" t="s">
        <v>448</v>
      </c>
      <c r="J113" s="29" t="s">
        <v>446</v>
      </c>
    </row>
    <row r="114" spans="1:10" x14ac:dyDescent="0.15">
      <c r="A114" s="29">
        <v>111</v>
      </c>
      <c r="B114" s="33" t="s">
        <v>450</v>
      </c>
      <c r="C114" s="29" t="s">
        <v>451</v>
      </c>
      <c r="I114" s="31" t="s">
        <v>799</v>
      </c>
      <c r="J114" s="29" t="s">
        <v>449</v>
      </c>
    </row>
    <row r="115" spans="1:10" x14ac:dyDescent="0.15">
      <c r="A115" s="29">
        <v>112</v>
      </c>
      <c r="B115" s="33" t="s">
        <v>453</v>
      </c>
      <c r="C115" s="29" t="s">
        <v>454</v>
      </c>
      <c r="I115" s="31" t="s">
        <v>799</v>
      </c>
      <c r="J115" s="29" t="s">
        <v>452</v>
      </c>
    </row>
    <row r="116" spans="1:10" x14ac:dyDescent="0.15">
      <c r="A116" s="29">
        <v>113</v>
      </c>
      <c r="B116" s="33" t="s">
        <v>456</v>
      </c>
      <c r="C116" s="29" t="s">
        <v>457</v>
      </c>
      <c r="I116" s="31" t="s">
        <v>799</v>
      </c>
      <c r="J116" s="29" t="s">
        <v>455</v>
      </c>
    </row>
    <row r="117" spans="1:10" x14ac:dyDescent="0.15">
      <c r="A117" s="29">
        <v>114</v>
      </c>
      <c r="B117" s="33" t="s">
        <v>459</v>
      </c>
      <c r="C117" s="29" t="s">
        <v>460</v>
      </c>
      <c r="I117" s="31" t="s">
        <v>799</v>
      </c>
      <c r="J117" s="29" t="s">
        <v>458</v>
      </c>
    </row>
    <row r="118" spans="1:10" x14ac:dyDescent="0.15">
      <c r="A118" s="29">
        <v>115</v>
      </c>
      <c r="B118" s="33" t="s">
        <v>68</v>
      </c>
      <c r="C118" s="29" t="s">
        <v>69</v>
      </c>
      <c r="J118" s="29">
        <v>5.13</v>
      </c>
    </row>
    <row r="119" spans="1:10" x14ac:dyDescent="0.15">
      <c r="A119" s="29">
        <v>116</v>
      </c>
      <c r="B119" s="33" t="s">
        <v>70</v>
      </c>
      <c r="C119" s="29" t="s">
        <v>71</v>
      </c>
      <c r="I119" s="31" t="s">
        <v>808</v>
      </c>
      <c r="J119" s="29" t="s">
        <v>461</v>
      </c>
    </row>
    <row r="120" spans="1:10" x14ac:dyDescent="0.15">
      <c r="A120" s="29">
        <v>117</v>
      </c>
      <c r="B120" s="33" t="s">
        <v>72</v>
      </c>
      <c r="C120" s="29" t="s">
        <v>73</v>
      </c>
      <c r="J120" s="29" t="s">
        <v>462</v>
      </c>
    </row>
    <row r="121" spans="1:10" x14ac:dyDescent="0.15">
      <c r="A121" s="29">
        <v>118</v>
      </c>
      <c r="B121" s="33" t="s">
        <v>74</v>
      </c>
      <c r="C121" s="29" t="s">
        <v>75</v>
      </c>
      <c r="I121" s="31" t="s">
        <v>808</v>
      </c>
      <c r="J121" s="29" t="s">
        <v>463</v>
      </c>
    </row>
    <row r="122" spans="1:10" x14ac:dyDescent="0.15">
      <c r="A122" s="29">
        <v>119</v>
      </c>
      <c r="B122" s="33" t="s">
        <v>76</v>
      </c>
      <c r="C122" s="29" t="s">
        <v>77</v>
      </c>
      <c r="J122" s="29">
        <v>5.14</v>
      </c>
    </row>
    <row r="123" spans="1:10" x14ac:dyDescent="0.15">
      <c r="A123" s="29">
        <v>120</v>
      </c>
      <c r="B123" s="32" t="s">
        <v>88</v>
      </c>
      <c r="C123" s="28" t="s">
        <v>89</v>
      </c>
      <c r="D123" s="28"/>
      <c r="E123" s="28"/>
      <c r="F123" s="28"/>
      <c r="G123" s="28"/>
      <c r="H123" s="28"/>
      <c r="I123" s="27"/>
      <c r="J123" s="36">
        <v>5.2</v>
      </c>
    </row>
    <row r="124" spans="1:10" x14ac:dyDescent="0.15">
      <c r="A124" s="29">
        <v>121</v>
      </c>
      <c r="B124" s="32" t="s">
        <v>190</v>
      </c>
      <c r="C124" s="27" t="s">
        <v>55</v>
      </c>
      <c r="D124" s="28"/>
      <c r="E124" s="28"/>
      <c r="F124" s="28"/>
      <c r="G124" s="28"/>
      <c r="H124" s="28"/>
      <c r="I124" s="27" t="s">
        <v>810</v>
      </c>
      <c r="J124" s="36" t="s">
        <v>390</v>
      </c>
    </row>
    <row r="125" spans="1:10" x14ac:dyDescent="0.15">
      <c r="A125" s="29">
        <v>122</v>
      </c>
      <c r="B125" s="32" t="s">
        <v>188</v>
      </c>
      <c r="C125" s="27" t="s">
        <v>189</v>
      </c>
      <c r="D125" s="28"/>
      <c r="E125" s="28"/>
      <c r="F125" s="28"/>
      <c r="G125" s="28"/>
      <c r="H125" s="28"/>
      <c r="I125" s="27" t="s">
        <v>810</v>
      </c>
      <c r="J125" s="36" t="s">
        <v>389</v>
      </c>
    </row>
    <row r="126" spans="1:10" x14ac:dyDescent="0.15">
      <c r="A126" s="29">
        <v>123</v>
      </c>
      <c r="B126" s="32" t="s">
        <v>90</v>
      </c>
      <c r="C126" s="27" t="s">
        <v>91</v>
      </c>
      <c r="D126" s="28"/>
      <c r="E126" s="28"/>
      <c r="F126" s="28"/>
      <c r="G126" s="28"/>
      <c r="H126" s="28"/>
      <c r="I126" s="27" t="s">
        <v>808</v>
      </c>
      <c r="J126" s="36" t="s">
        <v>344</v>
      </c>
    </row>
    <row r="127" spans="1:10" x14ac:dyDescent="0.15">
      <c r="A127" s="29">
        <v>124</v>
      </c>
      <c r="B127" s="32" t="s">
        <v>93</v>
      </c>
      <c r="C127" s="27" t="s">
        <v>94</v>
      </c>
      <c r="D127" s="28"/>
      <c r="E127" s="28"/>
      <c r="F127" s="28"/>
      <c r="G127" s="28"/>
      <c r="H127" s="28"/>
      <c r="I127" s="27" t="s">
        <v>808</v>
      </c>
      <c r="J127" s="36" t="s">
        <v>345</v>
      </c>
    </row>
    <row r="128" spans="1:10" x14ac:dyDescent="0.15">
      <c r="A128" s="29">
        <v>125</v>
      </c>
      <c r="B128" s="32" t="s">
        <v>95</v>
      </c>
      <c r="C128" s="28" t="s">
        <v>96</v>
      </c>
      <c r="D128" s="28"/>
      <c r="E128" s="28"/>
      <c r="F128" s="28"/>
      <c r="G128" s="28"/>
      <c r="H128" s="28"/>
      <c r="I128" s="27" t="s">
        <v>808</v>
      </c>
      <c r="J128" s="36" t="s">
        <v>346</v>
      </c>
    </row>
    <row r="129" spans="1:10" x14ac:dyDescent="0.15">
      <c r="A129" s="29">
        <v>126</v>
      </c>
      <c r="B129" s="32" t="s">
        <v>97</v>
      </c>
      <c r="C129" s="27" t="s">
        <v>98</v>
      </c>
      <c r="D129" s="28"/>
      <c r="E129" s="28"/>
      <c r="F129" s="28"/>
      <c r="G129" s="28"/>
      <c r="H129" s="28"/>
      <c r="I129" s="27" t="s">
        <v>808</v>
      </c>
      <c r="J129" s="36" t="s">
        <v>347</v>
      </c>
    </row>
    <row r="130" spans="1:10" x14ac:dyDescent="0.15">
      <c r="A130" s="29">
        <v>127</v>
      </c>
      <c r="B130" s="32" t="s">
        <v>99</v>
      </c>
      <c r="C130" s="27" t="s">
        <v>100</v>
      </c>
      <c r="D130" s="28"/>
      <c r="E130" s="28"/>
      <c r="F130" s="28"/>
      <c r="G130" s="28"/>
      <c r="H130" s="28"/>
      <c r="I130" s="27" t="s">
        <v>808</v>
      </c>
      <c r="J130" s="36" t="s">
        <v>348</v>
      </c>
    </row>
    <row r="131" spans="1:10" x14ac:dyDescent="0.15">
      <c r="A131" s="29">
        <v>128</v>
      </c>
      <c r="B131" s="32" t="s">
        <v>101</v>
      </c>
      <c r="C131" s="27" t="s">
        <v>102</v>
      </c>
      <c r="D131" s="28"/>
      <c r="E131" s="28"/>
      <c r="F131" s="28"/>
      <c r="G131" s="28"/>
      <c r="H131" s="28"/>
      <c r="I131" s="27" t="s">
        <v>808</v>
      </c>
      <c r="J131" s="36" t="s">
        <v>349</v>
      </c>
    </row>
    <row r="132" spans="1:10" x14ac:dyDescent="0.15">
      <c r="A132" s="29">
        <v>129</v>
      </c>
      <c r="B132" s="32" t="s">
        <v>103</v>
      </c>
      <c r="C132" s="27" t="s">
        <v>104</v>
      </c>
      <c r="D132" s="28"/>
      <c r="E132" s="28"/>
      <c r="F132" s="28"/>
      <c r="G132" s="28"/>
      <c r="H132" s="28"/>
      <c r="I132" s="27" t="s">
        <v>808</v>
      </c>
      <c r="J132" s="36" t="s">
        <v>350</v>
      </c>
    </row>
    <row r="133" spans="1:10" x14ac:dyDescent="0.15">
      <c r="A133" s="29">
        <v>130</v>
      </c>
      <c r="B133" s="32" t="s">
        <v>105</v>
      </c>
      <c r="C133" s="27" t="s">
        <v>106</v>
      </c>
      <c r="D133" s="28"/>
      <c r="E133" s="28"/>
      <c r="F133" s="28"/>
      <c r="G133" s="28"/>
      <c r="H133" s="28"/>
      <c r="I133" s="27" t="s">
        <v>808</v>
      </c>
      <c r="J133" s="36" t="s">
        <v>351</v>
      </c>
    </row>
    <row r="134" spans="1:10" x14ac:dyDescent="0.15">
      <c r="A134" s="29">
        <v>131</v>
      </c>
      <c r="B134" s="32" t="s">
        <v>107</v>
      </c>
      <c r="C134" s="28" t="s">
        <v>108</v>
      </c>
      <c r="D134" s="28"/>
      <c r="E134" s="28"/>
      <c r="F134" s="28"/>
      <c r="G134" s="28"/>
      <c r="H134" s="28"/>
      <c r="I134" s="27" t="s">
        <v>808</v>
      </c>
      <c r="J134" s="36" t="s">
        <v>352</v>
      </c>
    </row>
    <row r="135" spans="1:10" x14ac:dyDescent="0.15">
      <c r="A135" s="29">
        <v>132</v>
      </c>
      <c r="B135" s="32" t="s">
        <v>109</v>
      </c>
      <c r="C135" s="27" t="s">
        <v>110</v>
      </c>
      <c r="D135" s="28"/>
      <c r="E135" s="28"/>
      <c r="F135" s="28"/>
      <c r="G135" s="28"/>
      <c r="H135" s="28"/>
      <c r="I135" s="27" t="s">
        <v>808</v>
      </c>
      <c r="J135" s="36" t="s">
        <v>353</v>
      </c>
    </row>
    <row r="136" spans="1:10" x14ac:dyDescent="0.15">
      <c r="A136" s="29">
        <v>133</v>
      </c>
      <c r="B136" s="32" t="s">
        <v>111</v>
      </c>
      <c r="C136" s="28" t="s">
        <v>112</v>
      </c>
      <c r="D136" s="28"/>
      <c r="E136" s="28"/>
      <c r="F136" s="28"/>
      <c r="G136" s="28"/>
      <c r="H136" s="28"/>
      <c r="I136" s="27" t="s">
        <v>808</v>
      </c>
      <c r="J136" s="36" t="s">
        <v>354</v>
      </c>
    </row>
    <row r="137" spans="1:10" x14ac:dyDescent="0.15">
      <c r="A137" s="29">
        <v>134</v>
      </c>
      <c r="B137" s="32" t="s">
        <v>170</v>
      </c>
      <c r="C137" s="27" t="s">
        <v>171</v>
      </c>
      <c r="D137" s="28"/>
      <c r="E137" s="28"/>
      <c r="F137" s="28"/>
      <c r="G137" s="28"/>
      <c r="H137" s="28"/>
      <c r="I137" s="27" t="s">
        <v>808</v>
      </c>
      <c r="J137" s="36" t="s">
        <v>382</v>
      </c>
    </row>
    <row r="138" spans="1:10" x14ac:dyDescent="0.15">
      <c r="A138" s="29">
        <v>135</v>
      </c>
      <c r="B138" s="32" t="s">
        <v>113</v>
      </c>
      <c r="C138" s="28" t="s">
        <v>114</v>
      </c>
      <c r="D138" s="28"/>
      <c r="E138" s="28"/>
      <c r="F138" s="28"/>
      <c r="G138" s="28"/>
      <c r="H138" s="28"/>
      <c r="I138" s="27" t="s">
        <v>808</v>
      </c>
      <c r="J138" s="36" t="s">
        <v>355</v>
      </c>
    </row>
    <row r="139" spans="1:10" x14ac:dyDescent="0.15">
      <c r="A139" s="29">
        <v>136</v>
      </c>
      <c r="B139" s="32" t="s">
        <v>115</v>
      </c>
      <c r="C139" s="28" t="s">
        <v>116</v>
      </c>
      <c r="D139" s="28"/>
      <c r="E139" s="28"/>
      <c r="F139" s="28"/>
      <c r="G139" s="28"/>
      <c r="H139" s="28"/>
      <c r="I139" s="27" t="s">
        <v>808</v>
      </c>
      <c r="J139" s="36" t="s">
        <v>356</v>
      </c>
    </row>
    <row r="140" spans="1:10" x14ac:dyDescent="0.15">
      <c r="A140" s="29">
        <v>137</v>
      </c>
      <c r="B140" s="32" t="s">
        <v>117</v>
      </c>
      <c r="C140" s="27" t="s">
        <v>118</v>
      </c>
      <c r="D140" s="28"/>
      <c r="E140" s="28"/>
      <c r="F140" s="28"/>
      <c r="G140" s="28"/>
      <c r="H140" s="28"/>
      <c r="I140" s="27" t="s">
        <v>799</v>
      </c>
      <c r="J140" s="36" t="s">
        <v>357</v>
      </c>
    </row>
    <row r="141" spans="1:10" x14ac:dyDescent="0.15">
      <c r="A141" s="29">
        <v>138</v>
      </c>
      <c r="B141" s="32" t="s">
        <v>120</v>
      </c>
      <c r="C141" s="27" t="s">
        <v>34</v>
      </c>
      <c r="D141" s="28"/>
      <c r="E141" s="28"/>
      <c r="F141" s="28"/>
      <c r="G141" s="28"/>
      <c r="H141" s="28"/>
      <c r="I141" s="27" t="s">
        <v>808</v>
      </c>
      <c r="J141" s="36" t="s">
        <v>358</v>
      </c>
    </row>
    <row r="142" spans="1:10" x14ac:dyDescent="0.15">
      <c r="A142" s="29">
        <v>139</v>
      </c>
      <c r="B142" s="32" t="s">
        <v>123</v>
      </c>
      <c r="C142" s="27" t="s">
        <v>124</v>
      </c>
      <c r="D142" s="28"/>
      <c r="E142" s="28"/>
      <c r="F142" s="28"/>
      <c r="G142" s="28"/>
      <c r="H142" s="28"/>
      <c r="I142" s="27" t="s">
        <v>808</v>
      </c>
      <c r="J142" s="36" t="s">
        <v>360</v>
      </c>
    </row>
    <row r="143" spans="1:10" x14ac:dyDescent="0.15">
      <c r="A143" s="29">
        <v>140</v>
      </c>
      <c r="B143" s="32" t="s">
        <v>128</v>
      </c>
      <c r="C143" s="27" t="s">
        <v>129</v>
      </c>
      <c r="D143" s="28"/>
      <c r="E143" s="28"/>
      <c r="F143" s="28"/>
      <c r="G143" s="28"/>
      <c r="H143" s="28"/>
      <c r="I143" s="27" t="s">
        <v>808</v>
      </c>
      <c r="J143" s="36" t="s">
        <v>362</v>
      </c>
    </row>
    <row r="144" spans="1:10" x14ac:dyDescent="0.15">
      <c r="A144" s="29">
        <v>141</v>
      </c>
      <c r="B144" s="32" t="s">
        <v>166</v>
      </c>
      <c r="C144" s="27" t="s">
        <v>167</v>
      </c>
      <c r="D144" s="28"/>
      <c r="E144" s="28"/>
      <c r="F144" s="28"/>
      <c r="G144" s="28"/>
      <c r="H144" s="28"/>
      <c r="I144" s="27" t="s">
        <v>808</v>
      </c>
      <c r="J144" s="36" t="s">
        <v>380</v>
      </c>
    </row>
    <row r="145" spans="1:10" x14ac:dyDescent="0.15">
      <c r="A145" s="29">
        <v>142</v>
      </c>
      <c r="B145" s="32" t="s">
        <v>130</v>
      </c>
      <c r="C145" s="27" t="s">
        <v>131</v>
      </c>
      <c r="D145" s="28"/>
      <c r="E145" s="28"/>
      <c r="F145" s="28"/>
      <c r="G145" s="28"/>
      <c r="H145" s="28"/>
      <c r="I145" s="27" t="s">
        <v>808</v>
      </c>
      <c r="J145" s="36" t="s">
        <v>363</v>
      </c>
    </row>
    <row r="146" spans="1:10" x14ac:dyDescent="0.15">
      <c r="A146" s="29">
        <v>143</v>
      </c>
      <c r="B146" s="32" t="s">
        <v>132</v>
      </c>
      <c r="C146" s="27" t="s">
        <v>133</v>
      </c>
      <c r="D146" s="28"/>
      <c r="E146" s="28"/>
      <c r="F146" s="28"/>
      <c r="G146" s="28"/>
      <c r="H146" s="28"/>
      <c r="I146" s="27" t="s">
        <v>808</v>
      </c>
      <c r="J146" s="36" t="s">
        <v>364</v>
      </c>
    </row>
    <row r="147" spans="1:10" x14ac:dyDescent="0.15">
      <c r="A147" s="29">
        <v>144</v>
      </c>
      <c r="B147" s="32" t="s">
        <v>134</v>
      </c>
      <c r="C147" s="27" t="s">
        <v>135</v>
      </c>
      <c r="D147" s="28"/>
      <c r="E147" s="28"/>
      <c r="F147" s="28"/>
      <c r="G147" s="28"/>
      <c r="H147" s="28"/>
      <c r="I147" s="27" t="s">
        <v>808</v>
      </c>
      <c r="J147" s="36" t="s">
        <v>365</v>
      </c>
    </row>
    <row r="148" spans="1:10" x14ac:dyDescent="0.15">
      <c r="A148" s="29">
        <v>145</v>
      </c>
      <c r="B148" s="32" t="s">
        <v>168</v>
      </c>
      <c r="C148" s="27" t="s">
        <v>169</v>
      </c>
      <c r="D148" s="28"/>
      <c r="E148" s="28"/>
      <c r="F148" s="28"/>
      <c r="G148" s="28"/>
      <c r="H148" s="28"/>
      <c r="I148" s="27" t="s">
        <v>808</v>
      </c>
      <c r="J148" s="36" t="s">
        <v>381</v>
      </c>
    </row>
    <row r="149" spans="1:10" x14ac:dyDescent="0.15">
      <c r="A149" s="29">
        <v>146</v>
      </c>
      <c r="B149" s="32" t="s">
        <v>136</v>
      </c>
      <c r="C149" s="27" t="s">
        <v>137</v>
      </c>
      <c r="D149" s="28"/>
      <c r="E149" s="28"/>
      <c r="F149" s="28"/>
      <c r="G149" s="28"/>
      <c r="H149" s="28"/>
      <c r="I149" s="27" t="s">
        <v>808</v>
      </c>
      <c r="J149" s="36" t="s">
        <v>366</v>
      </c>
    </row>
    <row r="150" spans="1:10" x14ac:dyDescent="0.15">
      <c r="A150" s="29">
        <v>147</v>
      </c>
      <c r="B150" s="32" t="s">
        <v>138</v>
      </c>
      <c r="C150" s="28" t="s">
        <v>139</v>
      </c>
      <c r="D150" s="28"/>
      <c r="E150" s="28"/>
      <c r="F150" s="28"/>
      <c r="G150" s="28"/>
      <c r="H150" s="28"/>
      <c r="I150" s="27" t="s">
        <v>808</v>
      </c>
      <c r="J150" s="36" t="s">
        <v>367</v>
      </c>
    </row>
    <row r="151" spans="1:10" x14ac:dyDescent="0.15">
      <c r="A151" s="29">
        <v>148</v>
      </c>
      <c r="B151" s="32" t="s">
        <v>172</v>
      </c>
      <c r="C151" s="27" t="s">
        <v>173</v>
      </c>
      <c r="D151" s="28"/>
      <c r="E151" s="28"/>
      <c r="F151" s="28"/>
      <c r="G151" s="28"/>
      <c r="H151" s="28"/>
      <c r="I151" s="27" t="s">
        <v>808</v>
      </c>
      <c r="J151" s="36" t="s">
        <v>383</v>
      </c>
    </row>
    <row r="152" spans="1:10" x14ac:dyDescent="0.15">
      <c r="A152" s="29">
        <v>149</v>
      </c>
      <c r="B152" s="32" t="s">
        <v>140</v>
      </c>
      <c r="C152" s="27" t="s">
        <v>141</v>
      </c>
      <c r="D152" s="28"/>
      <c r="E152" s="28"/>
      <c r="F152" s="28"/>
      <c r="G152" s="28"/>
      <c r="H152" s="28"/>
      <c r="I152" s="27" t="s">
        <v>808</v>
      </c>
      <c r="J152" s="36" t="s">
        <v>368</v>
      </c>
    </row>
    <row r="153" spans="1:10" x14ac:dyDescent="0.15">
      <c r="A153" s="29">
        <v>150</v>
      </c>
      <c r="B153" s="32" t="s">
        <v>174</v>
      </c>
      <c r="C153" s="27" t="s">
        <v>175</v>
      </c>
      <c r="D153" s="28"/>
      <c r="E153" s="28"/>
      <c r="F153" s="28"/>
      <c r="G153" s="28"/>
      <c r="H153" s="28"/>
      <c r="I153" s="27" t="s">
        <v>808</v>
      </c>
      <c r="J153" s="36" t="s">
        <v>384</v>
      </c>
    </row>
    <row r="154" spans="1:10" x14ac:dyDescent="0.15">
      <c r="A154" s="29">
        <v>151</v>
      </c>
      <c r="B154" s="32" t="s">
        <v>145</v>
      </c>
      <c r="C154" s="28" t="s">
        <v>146</v>
      </c>
      <c r="D154" s="28"/>
      <c r="E154" s="28"/>
      <c r="F154" s="28"/>
      <c r="G154" s="28"/>
      <c r="H154" s="28"/>
      <c r="I154" s="27" t="s">
        <v>808</v>
      </c>
      <c r="J154" s="36" t="s">
        <v>370</v>
      </c>
    </row>
    <row r="155" spans="1:10" x14ac:dyDescent="0.15">
      <c r="A155" s="29">
        <v>152</v>
      </c>
      <c r="B155" s="32" t="s">
        <v>147</v>
      </c>
      <c r="C155" s="28" t="s">
        <v>148</v>
      </c>
      <c r="D155" s="28"/>
      <c r="E155" s="28"/>
      <c r="F155" s="28"/>
      <c r="G155" s="28"/>
      <c r="H155" s="28"/>
      <c r="I155" s="27" t="s">
        <v>808</v>
      </c>
      <c r="J155" s="36" t="s">
        <v>371</v>
      </c>
    </row>
    <row r="156" spans="1:10" x14ac:dyDescent="0.15">
      <c r="A156" s="29">
        <v>153</v>
      </c>
      <c r="B156" s="32" t="s">
        <v>152</v>
      </c>
      <c r="C156" s="28" t="s">
        <v>153</v>
      </c>
      <c r="D156" s="28"/>
      <c r="E156" s="28"/>
      <c r="F156" s="28"/>
      <c r="G156" s="28"/>
      <c r="H156" s="28"/>
      <c r="I156" s="27" t="s">
        <v>808</v>
      </c>
      <c r="J156" s="36" t="s">
        <v>373</v>
      </c>
    </row>
    <row r="157" spans="1:10" x14ac:dyDescent="0.15">
      <c r="A157" s="29">
        <v>154</v>
      </c>
      <c r="B157" s="32" t="s">
        <v>154</v>
      </c>
      <c r="C157" s="28" t="s">
        <v>155</v>
      </c>
      <c r="D157" s="28"/>
      <c r="E157" s="28"/>
      <c r="F157" s="28"/>
      <c r="G157" s="28"/>
      <c r="H157" s="28"/>
      <c r="I157" s="27" t="s">
        <v>808</v>
      </c>
      <c r="J157" s="36" t="s">
        <v>374</v>
      </c>
    </row>
    <row r="158" spans="1:10" x14ac:dyDescent="0.15">
      <c r="A158" s="29">
        <v>155</v>
      </c>
      <c r="B158" s="32" t="s">
        <v>156</v>
      </c>
      <c r="C158" s="27" t="s">
        <v>157</v>
      </c>
      <c r="D158" s="28"/>
      <c r="E158" s="28"/>
      <c r="F158" s="28"/>
      <c r="G158" s="28"/>
      <c r="H158" s="28"/>
      <c r="I158" s="27" t="s">
        <v>808</v>
      </c>
      <c r="J158" s="36" t="s">
        <v>375</v>
      </c>
    </row>
    <row r="159" spans="1:10" x14ac:dyDescent="0.15">
      <c r="A159" s="29">
        <v>156</v>
      </c>
      <c r="B159" s="32" t="s">
        <v>158</v>
      </c>
      <c r="C159" s="27" t="s">
        <v>159</v>
      </c>
      <c r="D159" s="28"/>
      <c r="E159" s="28"/>
      <c r="F159" s="28"/>
      <c r="G159" s="28"/>
      <c r="H159" s="28"/>
      <c r="I159" s="27" t="s">
        <v>808</v>
      </c>
      <c r="J159" s="36" t="s">
        <v>376</v>
      </c>
    </row>
    <row r="160" spans="1:10" x14ac:dyDescent="0.15">
      <c r="A160" s="29">
        <v>157</v>
      </c>
      <c r="B160" s="32" t="s">
        <v>160</v>
      </c>
      <c r="C160" s="27" t="s">
        <v>161</v>
      </c>
      <c r="D160" s="28"/>
      <c r="E160" s="28"/>
      <c r="F160" s="28"/>
      <c r="G160" s="28"/>
      <c r="H160" s="28"/>
      <c r="I160" s="27" t="s">
        <v>808</v>
      </c>
      <c r="J160" s="36" t="s">
        <v>377</v>
      </c>
    </row>
    <row r="161" spans="1:10" x14ac:dyDescent="0.15">
      <c r="A161" s="29">
        <v>158</v>
      </c>
      <c r="B161" s="32" t="s">
        <v>162</v>
      </c>
      <c r="C161" s="27" t="s">
        <v>163</v>
      </c>
      <c r="D161" s="28"/>
      <c r="E161" s="28"/>
      <c r="F161" s="28"/>
      <c r="G161" s="28"/>
      <c r="H161" s="28"/>
      <c r="I161" s="27" t="s">
        <v>808</v>
      </c>
      <c r="J161" s="36" t="s">
        <v>378</v>
      </c>
    </row>
    <row r="162" spans="1:10" x14ac:dyDescent="0.15">
      <c r="A162" s="29">
        <v>159</v>
      </c>
      <c r="B162" s="32" t="s">
        <v>164</v>
      </c>
      <c r="C162" s="27" t="s">
        <v>165</v>
      </c>
      <c r="D162" s="28"/>
      <c r="E162" s="28"/>
      <c r="F162" s="28"/>
      <c r="G162" s="28"/>
      <c r="H162" s="28"/>
      <c r="I162" s="27" t="s">
        <v>808</v>
      </c>
      <c r="J162" s="36" t="s">
        <v>379</v>
      </c>
    </row>
    <row r="163" spans="1:10" x14ac:dyDescent="0.15">
      <c r="A163" s="29">
        <v>160</v>
      </c>
      <c r="B163" s="32" t="s">
        <v>179</v>
      </c>
      <c r="C163" s="27" t="s">
        <v>180</v>
      </c>
      <c r="D163" s="28"/>
      <c r="E163" s="28"/>
      <c r="F163" s="28"/>
      <c r="G163" s="28"/>
      <c r="H163" s="28"/>
      <c r="I163" s="27"/>
      <c r="J163" s="36">
        <v>5.3</v>
      </c>
    </row>
    <row r="164" spans="1:10" x14ac:dyDescent="0.15">
      <c r="A164" s="29">
        <v>161</v>
      </c>
      <c r="B164" s="32" t="s">
        <v>50</v>
      </c>
      <c r="C164" s="27" t="s">
        <v>51</v>
      </c>
      <c r="D164" s="28"/>
      <c r="E164" s="28"/>
      <c r="F164" s="28"/>
      <c r="G164" s="28"/>
      <c r="H164" s="28"/>
      <c r="I164" s="27"/>
      <c r="J164" s="36">
        <v>5.4</v>
      </c>
    </row>
    <row r="165" spans="1:10" x14ac:dyDescent="0.15">
      <c r="A165" s="29">
        <v>162</v>
      </c>
      <c r="B165" s="32" t="s">
        <v>52</v>
      </c>
      <c r="C165" s="27" t="s">
        <v>53</v>
      </c>
      <c r="D165" s="28"/>
      <c r="E165" s="28"/>
      <c r="F165" s="28"/>
      <c r="G165" s="28"/>
      <c r="H165" s="28"/>
      <c r="I165" s="27"/>
      <c r="J165" s="36">
        <v>5.5</v>
      </c>
    </row>
    <row r="166" spans="1:10" x14ac:dyDescent="0.15">
      <c r="A166" s="29">
        <v>163</v>
      </c>
      <c r="B166" s="32" t="s">
        <v>187</v>
      </c>
      <c r="C166" s="27" t="s">
        <v>54</v>
      </c>
      <c r="D166" s="28"/>
      <c r="E166" s="28"/>
      <c r="F166" s="28"/>
      <c r="G166" s="28"/>
      <c r="H166" s="28"/>
      <c r="I166" s="27" t="s">
        <v>809</v>
      </c>
      <c r="J166" s="36" t="s">
        <v>388</v>
      </c>
    </row>
    <row r="167" spans="1:10" x14ac:dyDescent="0.15">
      <c r="A167" s="29">
        <v>164</v>
      </c>
      <c r="B167" s="32" t="s">
        <v>191</v>
      </c>
      <c r="C167" s="27" t="s">
        <v>56</v>
      </c>
      <c r="D167" s="28"/>
      <c r="E167" s="28"/>
      <c r="F167" s="28"/>
      <c r="G167" s="28"/>
      <c r="H167" s="28"/>
      <c r="I167" s="27" t="s">
        <v>809</v>
      </c>
      <c r="J167" s="36" t="s">
        <v>391</v>
      </c>
    </row>
    <row r="168" spans="1:10" x14ac:dyDescent="0.15">
      <c r="A168" s="29">
        <v>165</v>
      </c>
      <c r="B168" s="32" t="s">
        <v>192</v>
      </c>
      <c r="C168" s="27" t="s">
        <v>193</v>
      </c>
      <c r="D168" s="28"/>
      <c r="E168" s="28"/>
      <c r="F168" s="28"/>
      <c r="G168" s="28"/>
      <c r="H168" s="28"/>
      <c r="I168" s="27"/>
      <c r="J168" s="36" t="s">
        <v>392</v>
      </c>
    </row>
    <row r="169" spans="1:10" x14ac:dyDescent="0.15">
      <c r="A169" s="29">
        <v>166</v>
      </c>
      <c r="B169" s="32" t="s">
        <v>194</v>
      </c>
      <c r="C169" s="27" t="s">
        <v>195</v>
      </c>
      <c r="D169" s="28"/>
      <c r="E169" s="28"/>
      <c r="F169" s="28"/>
      <c r="G169" s="28"/>
      <c r="H169" s="28"/>
      <c r="I169" s="27"/>
      <c r="J169" s="36" t="s">
        <v>393</v>
      </c>
    </row>
    <row r="170" spans="1:10" x14ac:dyDescent="0.15">
      <c r="A170" s="29">
        <v>167</v>
      </c>
      <c r="B170" s="32" t="s">
        <v>196</v>
      </c>
      <c r="C170" s="27" t="s">
        <v>197</v>
      </c>
      <c r="D170" s="28"/>
      <c r="E170" s="28"/>
      <c r="F170" s="28"/>
      <c r="G170" s="28"/>
      <c r="H170" s="28"/>
      <c r="I170" s="27"/>
      <c r="J170" s="36" t="s">
        <v>394</v>
      </c>
    </row>
    <row r="171" spans="1:10" x14ac:dyDescent="0.15">
      <c r="A171" s="29">
        <v>168</v>
      </c>
      <c r="B171" s="33" t="s">
        <v>57</v>
      </c>
      <c r="C171" s="29" t="s">
        <v>58</v>
      </c>
      <c r="I171" s="31" t="s">
        <v>809</v>
      </c>
      <c r="J171" s="29" t="s">
        <v>395</v>
      </c>
    </row>
    <row r="172" spans="1:10" x14ac:dyDescent="0.15">
      <c r="A172" s="29">
        <v>169</v>
      </c>
      <c r="B172" s="33" t="s">
        <v>59</v>
      </c>
      <c r="C172" s="29" t="s">
        <v>60</v>
      </c>
      <c r="I172" s="31" t="s">
        <v>808</v>
      </c>
      <c r="J172" s="29" t="s">
        <v>396</v>
      </c>
    </row>
    <row r="173" spans="1:10" x14ac:dyDescent="0.15">
      <c r="A173" s="29">
        <v>170</v>
      </c>
      <c r="B173" s="33" t="s">
        <v>397</v>
      </c>
      <c r="C173" s="29" t="s">
        <v>199</v>
      </c>
      <c r="I173" s="31" t="s">
        <v>801</v>
      </c>
      <c r="J173" s="29">
        <v>5.6</v>
      </c>
    </row>
    <row r="174" spans="1:10" x14ac:dyDescent="0.15">
      <c r="A174" s="29">
        <v>171</v>
      </c>
      <c r="B174" s="33" t="s">
        <v>201</v>
      </c>
      <c r="C174" s="29" t="s">
        <v>202</v>
      </c>
      <c r="I174" s="31" t="s">
        <v>809</v>
      </c>
      <c r="J174" s="29" t="s">
        <v>399</v>
      </c>
    </row>
    <row r="175" spans="1:10" x14ac:dyDescent="0.15">
      <c r="A175" s="29">
        <v>172</v>
      </c>
      <c r="B175" s="33" t="s">
        <v>203</v>
      </c>
      <c r="C175" s="29" t="s">
        <v>202</v>
      </c>
      <c r="I175" s="31" t="s">
        <v>809</v>
      </c>
      <c r="J175" s="29" t="s">
        <v>400</v>
      </c>
    </row>
    <row r="176" spans="1:10" x14ac:dyDescent="0.15">
      <c r="A176" s="29">
        <v>173</v>
      </c>
      <c r="B176" s="33" t="s">
        <v>200</v>
      </c>
      <c r="C176" s="29" t="s">
        <v>29</v>
      </c>
      <c r="I176" s="31" t="s">
        <v>809</v>
      </c>
      <c r="J176" s="29" t="s">
        <v>398</v>
      </c>
    </row>
    <row r="177" spans="1:10" x14ac:dyDescent="0.15">
      <c r="A177" s="29">
        <v>174</v>
      </c>
      <c r="B177" s="33" t="s">
        <v>401</v>
      </c>
      <c r="C177" s="29" t="s">
        <v>204</v>
      </c>
      <c r="I177" s="31" t="s">
        <v>801</v>
      </c>
      <c r="J177" s="29">
        <v>5.7</v>
      </c>
    </row>
    <row r="178" spans="1:10" x14ac:dyDescent="0.15">
      <c r="A178" s="29">
        <v>175</v>
      </c>
      <c r="B178" s="33" t="s">
        <v>206</v>
      </c>
      <c r="C178" s="29" t="s">
        <v>202</v>
      </c>
      <c r="I178" s="31" t="s">
        <v>809</v>
      </c>
      <c r="J178" s="29" t="s">
        <v>403</v>
      </c>
    </row>
    <row r="179" spans="1:10" x14ac:dyDescent="0.15">
      <c r="A179" s="29">
        <v>176</v>
      </c>
      <c r="B179" s="33" t="s">
        <v>207</v>
      </c>
      <c r="C179" s="29" t="s">
        <v>202</v>
      </c>
      <c r="I179" s="31" t="s">
        <v>809</v>
      </c>
      <c r="J179" s="29" t="s">
        <v>404</v>
      </c>
    </row>
    <row r="180" spans="1:10" x14ac:dyDescent="0.15">
      <c r="A180" s="29">
        <v>177</v>
      </c>
      <c r="B180" s="33" t="s">
        <v>205</v>
      </c>
      <c r="C180" s="29" t="s">
        <v>29</v>
      </c>
      <c r="I180" s="31" t="s">
        <v>809</v>
      </c>
      <c r="J180" s="29" t="s">
        <v>402</v>
      </c>
    </row>
    <row r="181" spans="1:10" x14ac:dyDescent="0.15">
      <c r="A181" s="29">
        <v>178</v>
      </c>
      <c r="B181" s="33" t="s">
        <v>405</v>
      </c>
      <c r="C181" s="29" t="s">
        <v>406</v>
      </c>
      <c r="I181" s="31" t="s">
        <v>799</v>
      </c>
      <c r="J181" s="29">
        <v>5.8</v>
      </c>
    </row>
    <row r="182" spans="1:10" x14ac:dyDescent="0.15">
      <c r="A182" s="29">
        <v>179</v>
      </c>
      <c r="B182" s="33" t="s">
        <v>407</v>
      </c>
      <c r="C182" s="29" t="s">
        <v>408</v>
      </c>
      <c r="I182" s="31" t="s">
        <v>799</v>
      </c>
      <c r="J182" s="29">
        <v>5.9</v>
      </c>
    </row>
    <row r="183" spans="1:10" x14ac:dyDescent="0.15">
      <c r="A183" s="29">
        <v>180</v>
      </c>
      <c r="B183" s="33" t="s">
        <v>492</v>
      </c>
      <c r="C183" s="29" t="s">
        <v>493</v>
      </c>
      <c r="J183" s="29">
        <v>6.12</v>
      </c>
    </row>
    <row r="184" spans="1:10" x14ac:dyDescent="0.15">
      <c r="A184" s="29">
        <v>181</v>
      </c>
      <c r="B184" s="33" t="s">
        <v>509</v>
      </c>
      <c r="C184" s="29" t="s">
        <v>510</v>
      </c>
      <c r="J184" s="29" t="s">
        <v>508</v>
      </c>
    </row>
    <row r="185" spans="1:10" x14ac:dyDescent="0.15">
      <c r="A185" s="29">
        <v>182</v>
      </c>
      <c r="B185" s="33" t="s">
        <v>585</v>
      </c>
      <c r="C185" s="29" t="s">
        <v>472</v>
      </c>
      <c r="I185" s="31" t="s">
        <v>808</v>
      </c>
      <c r="J185" s="29">
        <v>7.9</v>
      </c>
    </row>
    <row r="186" spans="1:10" x14ac:dyDescent="0.15">
      <c r="A186" s="29">
        <v>183</v>
      </c>
      <c r="B186" s="33" t="s">
        <v>586</v>
      </c>
      <c r="C186" s="29" t="s">
        <v>471</v>
      </c>
      <c r="I186" s="31" t="s">
        <v>809</v>
      </c>
      <c r="J186" s="29">
        <v>7.1</v>
      </c>
    </row>
    <row r="187" spans="1:10" x14ac:dyDescent="0.15">
      <c r="A187" s="29">
        <v>184</v>
      </c>
      <c r="B187" s="33" t="s">
        <v>512</v>
      </c>
      <c r="C187" s="29" t="s">
        <v>513</v>
      </c>
      <c r="I187" s="31" t="s">
        <v>801</v>
      </c>
      <c r="J187" s="29">
        <v>7</v>
      </c>
    </row>
    <row r="188" spans="1:10" x14ac:dyDescent="0.15">
      <c r="A188" s="29">
        <v>185</v>
      </c>
      <c r="B188" s="33" t="s">
        <v>514</v>
      </c>
      <c r="C188" s="29" t="s">
        <v>515</v>
      </c>
      <c r="I188" s="31" t="s">
        <v>799</v>
      </c>
      <c r="J188" s="29">
        <v>7.1</v>
      </c>
    </row>
    <row r="189" spans="1:10" x14ac:dyDescent="0.15">
      <c r="A189" s="29">
        <v>186</v>
      </c>
      <c r="B189" s="33" t="s">
        <v>526</v>
      </c>
      <c r="C189" s="29" t="s">
        <v>527</v>
      </c>
      <c r="I189" s="31" t="s">
        <v>808</v>
      </c>
      <c r="J189" s="29" t="s">
        <v>525</v>
      </c>
    </row>
    <row r="190" spans="1:10" x14ac:dyDescent="0.15">
      <c r="A190" s="29">
        <v>187</v>
      </c>
      <c r="B190" s="33" t="s">
        <v>529</v>
      </c>
      <c r="C190" s="29" t="s">
        <v>30</v>
      </c>
      <c r="I190" s="31" t="s">
        <v>808</v>
      </c>
      <c r="J190" s="29" t="s">
        <v>528</v>
      </c>
    </row>
    <row r="191" spans="1:10" x14ac:dyDescent="0.15">
      <c r="A191" s="29">
        <v>188</v>
      </c>
      <c r="B191" s="33" t="s">
        <v>531</v>
      </c>
      <c r="C191" s="29" t="s">
        <v>532</v>
      </c>
      <c r="J191" s="29">
        <v>7.2</v>
      </c>
    </row>
    <row r="192" spans="1:10" x14ac:dyDescent="0.15">
      <c r="A192" s="29">
        <v>189</v>
      </c>
      <c r="B192" s="33" t="s">
        <v>537</v>
      </c>
      <c r="C192" s="29" t="s">
        <v>328</v>
      </c>
      <c r="I192" s="31" t="s">
        <v>808</v>
      </c>
      <c r="J192" s="29" t="s">
        <v>536</v>
      </c>
    </row>
    <row r="193" spans="1:10" x14ac:dyDescent="0.15">
      <c r="A193" s="29">
        <v>190</v>
      </c>
      <c r="B193" s="33" t="s">
        <v>542</v>
      </c>
      <c r="C193" s="29" t="s">
        <v>543</v>
      </c>
      <c r="I193" s="31" t="s">
        <v>808</v>
      </c>
      <c r="J193" s="29" t="s">
        <v>541</v>
      </c>
    </row>
    <row r="194" spans="1:10" x14ac:dyDescent="0.15">
      <c r="A194" s="29">
        <v>191</v>
      </c>
      <c r="B194" s="33" t="s">
        <v>534</v>
      </c>
      <c r="C194" s="29" t="s">
        <v>535</v>
      </c>
      <c r="J194" s="29" t="s">
        <v>533</v>
      </c>
    </row>
    <row r="195" spans="1:10" x14ac:dyDescent="0.15">
      <c r="A195" s="29">
        <v>192</v>
      </c>
      <c r="B195" s="33" t="s">
        <v>546</v>
      </c>
      <c r="C195" s="29" t="s">
        <v>30</v>
      </c>
      <c r="J195" s="29" t="s">
        <v>545</v>
      </c>
    </row>
    <row r="196" spans="1:10" x14ac:dyDescent="0.15">
      <c r="A196" s="29">
        <v>193</v>
      </c>
      <c r="B196" s="33" t="s">
        <v>548</v>
      </c>
      <c r="C196" s="29" t="s">
        <v>30</v>
      </c>
      <c r="J196" s="29" t="s">
        <v>547</v>
      </c>
    </row>
    <row r="197" spans="1:10" x14ac:dyDescent="0.15">
      <c r="A197" s="29">
        <v>194</v>
      </c>
      <c r="B197" s="33" t="s">
        <v>540</v>
      </c>
      <c r="C197" s="29" t="s">
        <v>29</v>
      </c>
      <c r="J197" s="29" t="s">
        <v>539</v>
      </c>
    </row>
    <row r="198" spans="1:10" x14ac:dyDescent="0.15">
      <c r="A198" s="29">
        <v>195</v>
      </c>
      <c r="B198" s="33" t="s">
        <v>555</v>
      </c>
      <c r="C198" s="29" t="s">
        <v>556</v>
      </c>
      <c r="I198" s="31" t="s">
        <v>808</v>
      </c>
      <c r="J198" s="29">
        <v>7.4</v>
      </c>
    </row>
    <row r="199" spans="1:10" x14ac:dyDescent="0.15">
      <c r="A199" s="29">
        <v>196</v>
      </c>
      <c r="B199" s="33" t="s">
        <v>558</v>
      </c>
      <c r="C199" s="29" t="s">
        <v>559</v>
      </c>
      <c r="I199" s="31" t="s">
        <v>808</v>
      </c>
      <c r="J199" s="29" t="s">
        <v>557</v>
      </c>
    </row>
    <row r="200" spans="1:10" x14ac:dyDescent="0.15">
      <c r="A200" s="29">
        <v>197</v>
      </c>
      <c r="B200" s="33" t="s">
        <v>562</v>
      </c>
      <c r="C200" s="29" t="s">
        <v>563</v>
      </c>
      <c r="J200" s="29" t="s">
        <v>561</v>
      </c>
    </row>
    <row r="201" spans="1:10" x14ac:dyDescent="0.15">
      <c r="A201" s="29">
        <v>198</v>
      </c>
      <c r="B201" s="33" t="s">
        <v>564</v>
      </c>
      <c r="C201" s="29" t="s">
        <v>565</v>
      </c>
      <c r="I201" s="31" t="s">
        <v>808</v>
      </c>
      <c r="J201" s="29">
        <v>7.5</v>
      </c>
    </row>
    <row r="202" spans="1:10" x14ac:dyDescent="0.15">
      <c r="A202" s="29">
        <v>199</v>
      </c>
      <c r="B202" s="33" t="s">
        <v>567</v>
      </c>
      <c r="C202" s="29" t="s">
        <v>559</v>
      </c>
      <c r="I202" s="31" t="s">
        <v>808</v>
      </c>
      <c r="J202" s="29" t="s">
        <v>566</v>
      </c>
    </row>
    <row r="203" spans="1:10" x14ac:dyDescent="0.15">
      <c r="A203" s="29">
        <v>200</v>
      </c>
      <c r="B203" s="33" t="s">
        <v>570</v>
      </c>
      <c r="C203" s="29" t="s">
        <v>571</v>
      </c>
      <c r="I203" s="31" t="s">
        <v>808</v>
      </c>
      <c r="J203" s="29" t="s">
        <v>569</v>
      </c>
    </row>
    <row r="204" spans="1:10" x14ac:dyDescent="0.15">
      <c r="A204" s="29">
        <v>201</v>
      </c>
      <c r="B204" s="33" t="s">
        <v>574</v>
      </c>
      <c r="C204" s="29" t="s">
        <v>575</v>
      </c>
      <c r="I204" s="31" t="s">
        <v>808</v>
      </c>
      <c r="J204" s="29" t="s">
        <v>573</v>
      </c>
    </row>
    <row r="205" spans="1:10" x14ac:dyDescent="0.15">
      <c r="A205" s="29">
        <v>202</v>
      </c>
      <c r="B205" s="33" t="s">
        <v>578</v>
      </c>
      <c r="C205" s="29" t="s">
        <v>579</v>
      </c>
      <c r="I205" s="31" t="s">
        <v>808</v>
      </c>
      <c r="J205" s="29" t="s">
        <v>577</v>
      </c>
    </row>
    <row r="206" spans="1:10" x14ac:dyDescent="0.15">
      <c r="A206" s="29">
        <v>203</v>
      </c>
      <c r="B206" s="33" t="s">
        <v>583</v>
      </c>
      <c r="C206" s="29" t="s">
        <v>584</v>
      </c>
      <c r="I206" s="31" t="s">
        <v>799</v>
      </c>
      <c r="J206" s="29">
        <v>7.7</v>
      </c>
    </row>
    <row r="207" spans="1:10" x14ac:dyDescent="0.15">
      <c r="A207" s="29">
        <v>204</v>
      </c>
      <c r="B207" s="33" t="s">
        <v>549</v>
      </c>
      <c r="C207" s="29" t="s">
        <v>550</v>
      </c>
      <c r="I207" s="31" t="s">
        <v>808</v>
      </c>
      <c r="J207" s="29">
        <v>7.3</v>
      </c>
    </row>
    <row r="208" spans="1:10" x14ac:dyDescent="0.15">
      <c r="A208" s="29">
        <v>205</v>
      </c>
      <c r="B208" s="33" t="s">
        <v>684</v>
      </c>
      <c r="C208" s="29" t="s">
        <v>685</v>
      </c>
      <c r="I208" s="31" t="s">
        <v>801</v>
      </c>
      <c r="J208" s="29">
        <v>10</v>
      </c>
    </row>
    <row r="209" spans="1:10" x14ac:dyDescent="0.15">
      <c r="A209" s="29">
        <v>206</v>
      </c>
      <c r="B209" s="33" t="s">
        <v>686</v>
      </c>
      <c r="C209" s="29" t="s">
        <v>515</v>
      </c>
      <c r="I209" s="31" t="s">
        <v>799</v>
      </c>
      <c r="J209" s="29">
        <v>10.1</v>
      </c>
    </row>
    <row r="210" spans="1:10" x14ac:dyDescent="0.15">
      <c r="A210" s="29">
        <v>207</v>
      </c>
      <c r="B210" s="33" t="s">
        <v>695</v>
      </c>
      <c r="C210" s="29" t="s">
        <v>571</v>
      </c>
      <c r="I210" s="31" t="s">
        <v>817</v>
      </c>
      <c r="J210" s="29">
        <v>10.6</v>
      </c>
    </row>
    <row r="211" spans="1:10" x14ac:dyDescent="0.15">
      <c r="A211" s="29">
        <v>208</v>
      </c>
      <c r="B211" s="33" t="s">
        <v>695</v>
      </c>
      <c r="C211" s="29" t="s">
        <v>30</v>
      </c>
      <c r="I211" s="31" t="s">
        <v>808</v>
      </c>
      <c r="J211" s="29" t="s">
        <v>696</v>
      </c>
    </row>
    <row r="212" spans="1:10" x14ac:dyDescent="0.15">
      <c r="A212" s="29">
        <v>209</v>
      </c>
      <c r="B212" s="33" t="s">
        <v>692</v>
      </c>
      <c r="C212" s="29" t="s">
        <v>693</v>
      </c>
      <c r="I212" s="31" t="s">
        <v>808</v>
      </c>
      <c r="J212" s="29">
        <v>10.5</v>
      </c>
    </row>
    <row r="213" spans="1:10" x14ac:dyDescent="0.15">
      <c r="A213" s="29">
        <v>210</v>
      </c>
      <c r="B213" s="33" t="s">
        <v>689</v>
      </c>
      <c r="C213" s="29" t="s">
        <v>472</v>
      </c>
      <c r="I213" s="31" t="s">
        <v>817</v>
      </c>
      <c r="J213" s="29">
        <v>10.3</v>
      </c>
    </row>
    <row r="214" spans="1:10" x14ac:dyDescent="0.15">
      <c r="A214" s="29">
        <v>211</v>
      </c>
      <c r="B214" s="33" t="s">
        <v>691</v>
      </c>
      <c r="C214" s="29" t="s">
        <v>471</v>
      </c>
      <c r="I214" s="31" t="s">
        <v>799</v>
      </c>
      <c r="J214" s="29">
        <v>10.4</v>
      </c>
    </row>
    <row r="215" spans="1:10" x14ac:dyDescent="0.15">
      <c r="A215" s="29">
        <v>212</v>
      </c>
      <c r="B215" s="33" t="s">
        <v>698</v>
      </c>
      <c r="C215" s="29" t="s">
        <v>699</v>
      </c>
      <c r="I215" s="31" t="s">
        <v>808</v>
      </c>
      <c r="J215" s="29">
        <v>10.7</v>
      </c>
    </row>
    <row r="216" spans="1:10" x14ac:dyDescent="0.15">
      <c r="A216" s="29">
        <v>213</v>
      </c>
      <c r="B216" s="33" t="s">
        <v>701</v>
      </c>
      <c r="C216" s="29" t="s">
        <v>702</v>
      </c>
      <c r="I216" s="31" t="s">
        <v>808</v>
      </c>
      <c r="J216" s="29" t="s">
        <v>700</v>
      </c>
    </row>
    <row r="217" spans="1:10" x14ac:dyDescent="0.15">
      <c r="A217" s="29">
        <v>214</v>
      </c>
      <c r="B217" s="33" t="s">
        <v>704</v>
      </c>
      <c r="C217" s="29" t="s">
        <v>559</v>
      </c>
      <c r="I217" s="31" t="s">
        <v>808</v>
      </c>
      <c r="J217" s="29" t="s">
        <v>703</v>
      </c>
    </row>
    <row r="218" spans="1:10" x14ac:dyDescent="0.15">
      <c r="A218" s="29">
        <v>215</v>
      </c>
      <c r="B218" s="33" t="s">
        <v>687</v>
      </c>
      <c r="C218" s="29" t="s">
        <v>527</v>
      </c>
      <c r="I218" s="31" t="s">
        <v>808</v>
      </c>
      <c r="J218" s="29" t="s">
        <v>210</v>
      </c>
    </row>
    <row r="219" spans="1:10" x14ac:dyDescent="0.15">
      <c r="A219" s="29">
        <v>216</v>
      </c>
      <c r="B219" s="33" t="s">
        <v>688</v>
      </c>
      <c r="C219" s="29" t="s">
        <v>527</v>
      </c>
      <c r="I219" s="31" t="s">
        <v>808</v>
      </c>
      <c r="J219" s="29" t="s">
        <v>211</v>
      </c>
    </row>
    <row r="220" spans="1:10" x14ac:dyDescent="0.15">
      <c r="A220" s="29">
        <v>217</v>
      </c>
      <c r="B220" s="33" t="s">
        <v>688</v>
      </c>
      <c r="C220" s="29" t="s">
        <v>706</v>
      </c>
      <c r="J220" s="29">
        <v>10.9</v>
      </c>
    </row>
    <row r="221" spans="1:10" x14ac:dyDescent="0.15">
      <c r="A221" s="29">
        <v>218</v>
      </c>
      <c r="B221" s="33" t="s">
        <v>581</v>
      </c>
      <c r="C221" s="29" t="s">
        <v>582</v>
      </c>
      <c r="J221" s="29">
        <v>7.6</v>
      </c>
    </row>
    <row r="222" spans="1:10" x14ac:dyDescent="0.15">
      <c r="A222" s="29">
        <v>219</v>
      </c>
      <c r="B222" s="33" t="s">
        <v>553</v>
      </c>
      <c r="C222" s="29" t="s">
        <v>550</v>
      </c>
      <c r="I222" s="31" t="s">
        <v>808</v>
      </c>
      <c r="J222" s="29" t="s">
        <v>552</v>
      </c>
    </row>
    <row r="223" spans="1:10" x14ac:dyDescent="0.15">
      <c r="A223" s="29">
        <v>220</v>
      </c>
      <c r="B223" s="33" t="s">
        <v>670</v>
      </c>
      <c r="C223" s="29" t="s">
        <v>671</v>
      </c>
      <c r="J223" s="29">
        <v>9.15</v>
      </c>
    </row>
    <row r="224" spans="1:10" x14ac:dyDescent="0.15">
      <c r="A224" s="29">
        <v>221</v>
      </c>
      <c r="B224" s="33" t="s">
        <v>673</v>
      </c>
      <c r="C224" s="29" t="s">
        <v>674</v>
      </c>
      <c r="I224" s="31" t="s">
        <v>816</v>
      </c>
      <c r="J224" s="29" t="s">
        <v>672</v>
      </c>
    </row>
    <row r="225" spans="1:10" x14ac:dyDescent="0.15">
      <c r="A225" s="29">
        <v>222</v>
      </c>
      <c r="B225" s="33" t="s">
        <v>677</v>
      </c>
      <c r="C225" s="29" t="s">
        <v>678</v>
      </c>
      <c r="I225" s="31" t="s">
        <v>811</v>
      </c>
      <c r="J225" s="29" t="s">
        <v>676</v>
      </c>
    </row>
    <row r="226" spans="1:10" x14ac:dyDescent="0.15">
      <c r="A226" s="29">
        <v>223</v>
      </c>
      <c r="B226" s="33" t="s">
        <v>680</v>
      </c>
      <c r="C226" s="29" t="s">
        <v>681</v>
      </c>
      <c r="I226" s="31" t="s">
        <v>811</v>
      </c>
      <c r="J226" s="29" t="s">
        <v>679</v>
      </c>
    </row>
    <row r="227" spans="1:10" x14ac:dyDescent="0.15">
      <c r="A227" s="29">
        <v>224</v>
      </c>
      <c r="B227" s="33" t="s">
        <v>683</v>
      </c>
      <c r="C227" s="29" t="s">
        <v>620</v>
      </c>
      <c r="I227" s="31" t="s">
        <v>816</v>
      </c>
      <c r="J227" s="29" t="s">
        <v>682</v>
      </c>
    </row>
    <row r="228" spans="1:10" x14ac:dyDescent="0.15">
      <c r="A228" s="29">
        <v>225</v>
      </c>
      <c r="B228" s="33" t="s">
        <v>485</v>
      </c>
      <c r="C228" s="29" t="s">
        <v>484</v>
      </c>
      <c r="I228" s="31" t="s">
        <v>802</v>
      </c>
      <c r="J228" s="29" t="s">
        <v>483</v>
      </c>
    </row>
    <row r="229" spans="1:10" x14ac:dyDescent="0.15">
      <c r="A229" s="29">
        <v>226</v>
      </c>
      <c r="B229" s="33" t="s">
        <v>765</v>
      </c>
      <c r="C229" s="29" t="s">
        <v>756</v>
      </c>
      <c r="I229" s="31" t="s">
        <v>808</v>
      </c>
      <c r="J229" s="29" t="s">
        <v>764</v>
      </c>
    </row>
    <row r="230" spans="1:10" x14ac:dyDescent="0.15">
      <c r="A230" s="29">
        <v>227</v>
      </c>
      <c r="B230" s="33" t="s">
        <v>755</v>
      </c>
      <c r="C230" s="29" t="s">
        <v>756</v>
      </c>
      <c r="I230" s="31" t="s">
        <v>808</v>
      </c>
      <c r="J230" s="29" t="s">
        <v>754</v>
      </c>
    </row>
    <row r="231" spans="1:10" x14ac:dyDescent="0.15">
      <c r="A231" s="29">
        <v>228</v>
      </c>
      <c r="B231" s="33" t="s">
        <v>796</v>
      </c>
      <c r="C231" s="29" t="s">
        <v>756</v>
      </c>
      <c r="I231" s="31" t="s">
        <v>808</v>
      </c>
      <c r="J231" s="29" t="s">
        <v>795</v>
      </c>
    </row>
    <row r="232" spans="1:10" x14ac:dyDescent="0.15">
      <c r="A232" s="29">
        <v>229</v>
      </c>
      <c r="B232" s="33" t="s">
        <v>747</v>
      </c>
      <c r="C232" s="29" t="s">
        <v>731</v>
      </c>
      <c r="I232" s="31" t="s">
        <v>801</v>
      </c>
      <c r="J232" s="29">
        <v>13.2</v>
      </c>
    </row>
    <row r="233" spans="1:10" x14ac:dyDescent="0.15">
      <c r="A233" s="29">
        <v>230</v>
      </c>
      <c r="B233" s="33" t="s">
        <v>730</v>
      </c>
      <c r="C233" s="29" t="s">
        <v>731</v>
      </c>
      <c r="I233" s="31" t="s">
        <v>801</v>
      </c>
      <c r="J233" s="29">
        <v>13.1</v>
      </c>
    </row>
    <row r="234" spans="1:10" x14ac:dyDescent="0.15">
      <c r="A234" s="29">
        <v>231</v>
      </c>
      <c r="B234" s="33" t="s">
        <v>769</v>
      </c>
      <c r="C234" s="29" t="s">
        <v>770</v>
      </c>
      <c r="I234" s="31" t="s">
        <v>808</v>
      </c>
      <c r="J234" s="29" t="s">
        <v>768</v>
      </c>
    </row>
    <row r="235" spans="1:10" x14ac:dyDescent="0.15">
      <c r="A235" s="29">
        <v>232</v>
      </c>
      <c r="B235" s="33" t="s">
        <v>780</v>
      </c>
      <c r="C235" s="29" t="s">
        <v>770</v>
      </c>
      <c r="I235" s="31" t="s">
        <v>808</v>
      </c>
      <c r="J235" s="29" t="s">
        <v>779</v>
      </c>
    </row>
    <row r="236" spans="1:10" x14ac:dyDescent="0.15">
      <c r="A236" s="29">
        <v>233</v>
      </c>
      <c r="B236" s="33" t="s">
        <v>786</v>
      </c>
      <c r="C236" s="29" t="s">
        <v>770</v>
      </c>
      <c r="I236" s="31" t="s">
        <v>808</v>
      </c>
      <c r="J236" s="29" t="s">
        <v>785</v>
      </c>
    </row>
    <row r="237" spans="1:10" x14ac:dyDescent="0.15">
      <c r="A237" s="29">
        <v>234</v>
      </c>
      <c r="B237" s="33" t="s">
        <v>491</v>
      </c>
      <c r="C237" s="29" t="s">
        <v>490</v>
      </c>
      <c r="I237" s="31" t="s">
        <v>802</v>
      </c>
      <c r="J237" s="29" t="s">
        <v>489</v>
      </c>
    </row>
    <row r="238" spans="1:10" x14ac:dyDescent="0.15">
      <c r="A238" s="29">
        <v>235</v>
      </c>
      <c r="B238" s="33" t="s">
        <v>488</v>
      </c>
      <c r="C238" s="29" t="s">
        <v>487</v>
      </c>
      <c r="I238" s="31" t="s">
        <v>802</v>
      </c>
      <c r="J238" s="29" t="s">
        <v>486</v>
      </c>
    </row>
    <row r="239" spans="1:10" x14ac:dyDescent="0.15">
      <c r="A239" s="29">
        <v>236</v>
      </c>
      <c r="B239" s="33" t="s">
        <v>590</v>
      </c>
      <c r="C239" s="29" t="s">
        <v>490</v>
      </c>
      <c r="I239" s="31" t="s">
        <v>799</v>
      </c>
      <c r="J239" s="29" t="s">
        <v>589</v>
      </c>
    </row>
    <row r="240" spans="1:10" x14ac:dyDescent="0.15">
      <c r="A240" s="29">
        <v>237</v>
      </c>
      <c r="B240" s="33" t="s">
        <v>588</v>
      </c>
      <c r="C240" s="29" t="s">
        <v>487</v>
      </c>
      <c r="I240" s="31" t="s">
        <v>799</v>
      </c>
      <c r="J240" s="29" t="s">
        <v>587</v>
      </c>
    </row>
    <row r="241" spans="1:10" x14ac:dyDescent="0.15">
      <c r="A241" s="29">
        <v>238</v>
      </c>
      <c r="B241" s="33" t="s">
        <v>760</v>
      </c>
      <c r="C241" s="29" t="s">
        <v>761</v>
      </c>
      <c r="J241" s="29" t="s">
        <v>759</v>
      </c>
    </row>
    <row r="242" spans="1:10" x14ac:dyDescent="0.15">
      <c r="A242" s="29">
        <v>239</v>
      </c>
      <c r="B242" s="33" t="s">
        <v>760</v>
      </c>
      <c r="C242" s="29" t="s">
        <v>761</v>
      </c>
      <c r="J242" s="29" t="s">
        <v>771</v>
      </c>
    </row>
    <row r="243" spans="1:10" x14ac:dyDescent="0.15">
      <c r="A243" s="29">
        <v>240</v>
      </c>
      <c r="B243" s="33" t="s">
        <v>760</v>
      </c>
      <c r="C243" s="29" t="s">
        <v>761</v>
      </c>
      <c r="J243" s="29" t="s">
        <v>772</v>
      </c>
    </row>
    <row r="244" spans="1:10" x14ac:dyDescent="0.15">
      <c r="A244" s="29">
        <v>241</v>
      </c>
      <c r="B244" s="33" t="s">
        <v>760</v>
      </c>
      <c r="C244" s="29" t="s">
        <v>761</v>
      </c>
      <c r="J244" s="29" t="s">
        <v>775</v>
      </c>
    </row>
    <row r="245" spans="1:10" x14ac:dyDescent="0.15">
      <c r="A245" s="29">
        <v>242</v>
      </c>
      <c r="B245" s="33" t="s">
        <v>760</v>
      </c>
      <c r="C245" s="29" t="s">
        <v>761</v>
      </c>
      <c r="J245" s="29" t="s">
        <v>778</v>
      </c>
    </row>
    <row r="246" spans="1:10" x14ac:dyDescent="0.15">
      <c r="A246" s="29">
        <v>243</v>
      </c>
      <c r="B246" s="33" t="s">
        <v>760</v>
      </c>
      <c r="C246" s="29" t="s">
        <v>761</v>
      </c>
      <c r="J246" s="29" t="s">
        <v>781</v>
      </c>
    </row>
    <row r="247" spans="1:10" x14ac:dyDescent="0.15">
      <c r="A247" s="29">
        <v>244</v>
      </c>
      <c r="B247" s="33" t="s">
        <v>760</v>
      </c>
      <c r="C247" s="29" t="s">
        <v>761</v>
      </c>
      <c r="J247" s="29" t="s">
        <v>784</v>
      </c>
    </row>
    <row r="248" spans="1:10" x14ac:dyDescent="0.15">
      <c r="A248" s="29">
        <v>245</v>
      </c>
      <c r="B248" s="33" t="s">
        <v>760</v>
      </c>
      <c r="C248" s="29" t="s">
        <v>761</v>
      </c>
      <c r="J248" s="29" t="s">
        <v>787</v>
      </c>
    </row>
    <row r="249" spans="1:10" x14ac:dyDescent="0.15">
      <c r="A249" s="29">
        <v>246</v>
      </c>
      <c r="B249" s="33" t="s">
        <v>760</v>
      </c>
      <c r="C249" s="29" t="s">
        <v>761</v>
      </c>
      <c r="J249" s="29" t="s">
        <v>793</v>
      </c>
    </row>
    <row r="250" spans="1:10" x14ac:dyDescent="0.15">
      <c r="A250" s="29">
        <v>247</v>
      </c>
      <c r="B250" s="33" t="s">
        <v>760</v>
      </c>
      <c r="C250" s="29" t="s">
        <v>761</v>
      </c>
      <c r="J250" s="29" t="s">
        <v>794</v>
      </c>
    </row>
    <row r="251" spans="1:10" x14ac:dyDescent="0.15">
      <c r="A251" s="29">
        <v>248</v>
      </c>
      <c r="B251" s="33" t="s">
        <v>495</v>
      </c>
      <c r="C251" s="29" t="s">
        <v>496</v>
      </c>
      <c r="I251" s="31" t="s">
        <v>812</v>
      </c>
      <c r="J251" s="29" t="s">
        <v>494</v>
      </c>
    </row>
    <row r="252" spans="1:10" x14ac:dyDescent="0.15">
      <c r="A252" s="29">
        <v>249</v>
      </c>
      <c r="B252" s="32" t="s">
        <v>226</v>
      </c>
      <c r="C252" s="27" t="s">
        <v>227</v>
      </c>
      <c r="D252" s="28"/>
      <c r="E252" s="28"/>
      <c r="F252" s="28"/>
      <c r="G252" s="28"/>
      <c r="H252" s="28"/>
      <c r="I252" s="27"/>
      <c r="J252" s="36">
        <v>3.1</v>
      </c>
    </row>
    <row r="253" spans="1:10" x14ac:dyDescent="0.15">
      <c r="A253" s="29">
        <v>250</v>
      </c>
      <c r="B253" s="32" t="s">
        <v>220</v>
      </c>
      <c r="C253" s="28" t="s">
        <v>221</v>
      </c>
      <c r="D253" s="28"/>
      <c r="E253" s="28"/>
      <c r="F253" s="28"/>
      <c r="G253" s="28"/>
      <c r="H253" s="28"/>
      <c r="I253" s="27"/>
      <c r="J253" s="36">
        <v>2.1</v>
      </c>
    </row>
    <row r="254" spans="1:10" x14ac:dyDescent="0.15">
      <c r="A254" s="29">
        <v>251</v>
      </c>
      <c r="B254" s="32" t="s">
        <v>228</v>
      </c>
      <c r="C254" s="27" t="s">
        <v>229</v>
      </c>
      <c r="D254" s="28"/>
      <c r="E254" s="28"/>
      <c r="F254" s="28"/>
      <c r="G254" s="28"/>
      <c r="H254" s="28"/>
      <c r="I254" s="27"/>
      <c r="J254" s="36">
        <v>4</v>
      </c>
    </row>
    <row r="255" spans="1:10" x14ac:dyDescent="0.15">
      <c r="A255" s="29">
        <v>252</v>
      </c>
      <c r="B255" s="32" t="s">
        <v>228</v>
      </c>
      <c r="C255" s="27" t="s">
        <v>235</v>
      </c>
      <c r="D255" s="28"/>
      <c r="E255" s="28"/>
      <c r="F255" s="28"/>
      <c r="G255" s="28"/>
      <c r="H255" s="28"/>
      <c r="I255" s="27"/>
      <c r="J255" s="36">
        <v>4.5</v>
      </c>
    </row>
    <row r="256" spans="1:10" x14ac:dyDescent="0.15">
      <c r="A256" s="29">
        <v>253</v>
      </c>
      <c r="B256" s="32" t="s">
        <v>230</v>
      </c>
      <c r="C256" s="27" t="s">
        <v>231</v>
      </c>
      <c r="D256" s="28"/>
      <c r="E256" s="28"/>
      <c r="F256" s="28"/>
      <c r="G256" s="28"/>
      <c r="H256" s="28"/>
      <c r="I256" s="27"/>
      <c r="J256" s="36">
        <v>4.0999999999999996</v>
      </c>
    </row>
    <row r="257" spans="1:10" x14ac:dyDescent="0.15">
      <c r="A257" s="29">
        <v>254</v>
      </c>
      <c r="B257" s="32" t="s">
        <v>233</v>
      </c>
      <c r="C257" s="27" t="s">
        <v>234</v>
      </c>
      <c r="D257" s="28"/>
      <c r="E257" s="28"/>
      <c r="F257" s="28"/>
      <c r="G257" s="28"/>
      <c r="H257" s="28"/>
      <c r="I257" s="27"/>
      <c r="J257" s="36">
        <v>4.2</v>
      </c>
    </row>
    <row r="258" spans="1:10" x14ac:dyDescent="0.15">
      <c r="A258" s="29">
        <v>255</v>
      </c>
      <c r="B258" s="33" t="s">
        <v>473</v>
      </c>
      <c r="C258" s="29" t="s">
        <v>474</v>
      </c>
      <c r="I258" s="31" t="s">
        <v>801</v>
      </c>
      <c r="J258" s="29">
        <v>6.8</v>
      </c>
    </row>
    <row r="259" spans="1:10" x14ac:dyDescent="0.15">
      <c r="A259" s="29">
        <v>256</v>
      </c>
      <c r="B259" s="33" t="s">
        <v>465</v>
      </c>
      <c r="C259" s="29" t="s">
        <v>466</v>
      </c>
      <c r="I259" s="31" t="s">
        <v>801</v>
      </c>
      <c r="J259" s="29">
        <v>6.1</v>
      </c>
    </row>
    <row r="260" spans="1:10" x14ac:dyDescent="0.15">
      <c r="A260" s="29">
        <v>257</v>
      </c>
      <c r="B260" s="33" t="s">
        <v>468</v>
      </c>
      <c r="C260" s="29" t="s">
        <v>208</v>
      </c>
      <c r="I260" s="31" t="s">
        <v>799</v>
      </c>
      <c r="J260" s="29" t="s">
        <v>467</v>
      </c>
    </row>
    <row r="261" spans="1:10" x14ac:dyDescent="0.15">
      <c r="A261" s="29">
        <v>258</v>
      </c>
      <c r="B261" s="33" t="s">
        <v>469</v>
      </c>
      <c r="C261" s="29" t="s">
        <v>470</v>
      </c>
      <c r="I261" s="31" t="s">
        <v>801</v>
      </c>
      <c r="J261" s="29">
        <v>6.2</v>
      </c>
    </row>
    <row r="262" spans="1:10" x14ac:dyDescent="0.15">
      <c r="A262" s="29">
        <v>259</v>
      </c>
      <c r="B262" s="32" t="s">
        <v>223</v>
      </c>
      <c r="C262" s="28" t="s">
        <v>224</v>
      </c>
      <c r="D262" s="28"/>
      <c r="E262" s="28"/>
      <c r="F262" s="28"/>
      <c r="G262" s="28"/>
      <c r="H262" s="28"/>
      <c r="I262" s="27" t="s">
        <v>808</v>
      </c>
      <c r="J262" s="36">
        <v>2.2000000000000002</v>
      </c>
    </row>
    <row r="263" spans="1:10" x14ac:dyDescent="0.15">
      <c r="A263" s="29">
        <v>260</v>
      </c>
      <c r="B263" s="33" t="s">
        <v>726</v>
      </c>
      <c r="C263" s="29" t="s">
        <v>727</v>
      </c>
      <c r="J263" s="29" t="s">
        <v>725</v>
      </c>
    </row>
    <row r="264" spans="1:10" x14ac:dyDescent="0.15">
      <c r="A264" s="29">
        <v>261</v>
      </c>
      <c r="B264" s="33" t="s">
        <v>498</v>
      </c>
      <c r="C264" s="29" t="s">
        <v>499</v>
      </c>
      <c r="J264" s="29" t="s">
        <v>497</v>
      </c>
    </row>
  </sheetData>
  <sortState ref="A4:J264">
    <sortCondition ref="B1:B1048576"/>
  </sortState>
  <mergeCells count="2">
    <mergeCell ref="A1:I1"/>
    <mergeCell ref="A2:I2"/>
  </mergeCells>
  <phoneticPr fontId="1" type="noConversion"/>
  <pageMargins left="0" right="0" top="0.27559055118110237" bottom="0.27559055118110237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"/>
  <sheetViews>
    <sheetView zoomScale="130" zoomScaleNormal="130" workbookViewId="0">
      <selection activeCell="F4" sqref="F4"/>
    </sheetView>
  </sheetViews>
  <sheetFormatPr defaultRowHeight="13.5" x14ac:dyDescent="0.15"/>
  <cols>
    <col min="1" max="1" width="15.25" bestFit="1" customWidth="1"/>
    <col min="2" max="2" width="11.125" customWidth="1"/>
    <col min="3" max="4" width="13" bestFit="1" customWidth="1"/>
    <col min="5" max="5" width="17.25" bestFit="1" customWidth="1"/>
    <col min="6" max="6" width="24.125" customWidth="1"/>
  </cols>
  <sheetData>
    <row r="1" spans="1:6" x14ac:dyDescent="0.15">
      <c r="A1" s="22" t="s">
        <v>27</v>
      </c>
      <c r="B1" s="22" t="s">
        <v>829</v>
      </c>
      <c r="C1" s="22" t="s">
        <v>818</v>
      </c>
      <c r="D1" s="22" t="s">
        <v>819</v>
      </c>
      <c r="E1" s="22" t="s">
        <v>820</v>
      </c>
      <c r="F1" s="22" t="s">
        <v>873</v>
      </c>
    </row>
    <row r="2" spans="1:6" x14ac:dyDescent="0.15">
      <c r="A2" t="s">
        <v>32</v>
      </c>
      <c r="B2" t="s">
        <v>222</v>
      </c>
      <c r="C2" t="s">
        <v>821</v>
      </c>
      <c r="D2" t="s">
        <v>821</v>
      </c>
      <c r="E2" t="s">
        <v>823</v>
      </c>
      <c r="F2" s="61" t="s">
        <v>850</v>
      </c>
    </row>
    <row r="3" spans="1:6" x14ac:dyDescent="0.15">
      <c r="B3" t="s">
        <v>830</v>
      </c>
      <c r="C3" t="s">
        <v>821</v>
      </c>
      <c r="D3" t="s">
        <v>821</v>
      </c>
      <c r="E3" t="s">
        <v>824</v>
      </c>
    </row>
    <row r="4" spans="1:6" x14ac:dyDescent="0.15">
      <c r="B4" t="s">
        <v>831</v>
      </c>
      <c r="C4" t="s">
        <v>821</v>
      </c>
      <c r="D4" t="s">
        <v>821</v>
      </c>
      <c r="E4" t="s">
        <v>825</v>
      </c>
    </row>
    <row r="5" spans="1:6" x14ac:dyDescent="0.15">
      <c r="B5" t="s">
        <v>835</v>
      </c>
      <c r="C5" t="s">
        <v>821</v>
      </c>
      <c r="D5" t="s">
        <v>821</v>
      </c>
      <c r="E5" t="s">
        <v>826</v>
      </c>
    </row>
    <row r="6" spans="1:6" x14ac:dyDescent="0.15">
      <c r="B6" t="s">
        <v>836</v>
      </c>
      <c r="E6" t="s">
        <v>827</v>
      </c>
    </row>
    <row r="7" spans="1:6" x14ac:dyDescent="0.15">
      <c r="B7" t="s">
        <v>832</v>
      </c>
      <c r="E7" t="s">
        <v>828</v>
      </c>
    </row>
    <row r="8" spans="1:6" x14ac:dyDescent="0.15">
      <c r="B8" t="s">
        <v>840</v>
      </c>
      <c r="E8" t="s">
        <v>821</v>
      </c>
    </row>
    <row r="9" spans="1:6" x14ac:dyDescent="0.15">
      <c r="B9" t="s">
        <v>843</v>
      </c>
      <c r="E9" t="s">
        <v>821</v>
      </c>
    </row>
    <row r="10" spans="1:6" x14ac:dyDescent="0.15">
      <c r="B10" t="s">
        <v>833</v>
      </c>
      <c r="E10" t="s">
        <v>821</v>
      </c>
    </row>
    <row r="11" spans="1:6" x14ac:dyDescent="0.15">
      <c r="B11" t="s">
        <v>837</v>
      </c>
    </row>
    <row r="12" spans="1:6" x14ac:dyDescent="0.15">
      <c r="B12" t="s">
        <v>839</v>
      </c>
    </row>
    <row r="13" spans="1:6" x14ac:dyDescent="0.15">
      <c r="B13" t="s">
        <v>838</v>
      </c>
    </row>
    <row r="14" spans="1:6" x14ac:dyDescent="0.15">
      <c r="B14" t="s">
        <v>842</v>
      </c>
    </row>
    <row r="15" spans="1:6" x14ac:dyDescent="0.15">
      <c r="B15" t="s">
        <v>834</v>
      </c>
    </row>
    <row r="16" spans="1:6" x14ac:dyDescent="0.15">
      <c r="B16" t="s">
        <v>844</v>
      </c>
    </row>
    <row r="17" spans="2:2" x14ac:dyDescent="0.15">
      <c r="B17" t="s">
        <v>821</v>
      </c>
    </row>
  </sheetData>
  <phoneticPr fontId="1" type="noConversion"/>
  <dataValidations count="2">
    <dataValidation type="list" errorStyle="information" allowBlank="1" showInputMessage="1" showErrorMessage="1" sqref="F2">
      <formula1>"D:\00gyk\00sw公用\表格模板\导出bom2.sldbomtbt,D:\00gyk\00sw公用\表格模板\导出bom2=库存数量.sldbomtbt"</formula1>
    </dataValidation>
    <dataValidation type="list" allowBlank="1" showInputMessage="1" showErrorMessage="1" sqref="A2">
      <formula1>"AppActivate,explorer.exe"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35</vt:i4>
      </vt:variant>
    </vt:vector>
  </HeadingPairs>
  <TitlesOfParts>
    <vt:vector size="45" baseType="lpstr">
      <vt:lpstr>层次BOM</vt:lpstr>
      <vt:lpstr>原材料分项表</vt:lpstr>
      <vt:lpstr>原材料汇总表</vt:lpstr>
      <vt:lpstr>全汇总BOM</vt:lpstr>
      <vt:lpstr>加工件汇总表</vt:lpstr>
      <vt:lpstr>外购件及标准件汇总表</vt:lpstr>
      <vt:lpstr>企标件汇总表</vt:lpstr>
      <vt:lpstr>激光下料汇总表</vt:lpstr>
      <vt:lpstr>图纸下发清单</vt:lpstr>
      <vt:lpstr>Sheet2=设置页</vt:lpstr>
      <vt:lpstr>bom模板</vt:lpstr>
      <vt:lpstr>原材料汇总表!板厚或截面标记</vt:lpstr>
      <vt:lpstr>表头行</vt:lpstr>
      <vt:lpstr>原材料汇总表!材料</vt:lpstr>
      <vt:lpstr>代号</vt:lpstr>
      <vt:lpstr>顶层代号</vt:lpstr>
      <vt:lpstr>顶层名称</vt:lpstr>
      <vt:lpstr>规格</vt:lpstr>
      <vt:lpstr>激光下料汇总表!激光下料汇总表标题</vt:lpstr>
      <vt:lpstr>激活sw窗口方式</vt:lpstr>
      <vt:lpstr>原材料汇总表!计价单位</vt:lpstr>
      <vt:lpstr>加工件黑名单</vt:lpstr>
      <vt:lpstr>加工件汇总表标题</vt:lpstr>
      <vt:lpstr>类别</vt:lpstr>
      <vt:lpstr>名称</vt:lpstr>
      <vt:lpstr>配置名称</vt:lpstr>
      <vt:lpstr>企标件汇总表标题</vt:lpstr>
      <vt:lpstr>全汇总BOM标题</vt:lpstr>
      <vt:lpstr>图纸下发清单标题</vt:lpstr>
      <vt:lpstr>外购件黑名单</vt:lpstr>
      <vt:lpstr>外购件及标准件汇总表标题</vt:lpstr>
      <vt:lpstr>外购件名称关键词</vt:lpstr>
      <vt:lpstr>文件路径</vt:lpstr>
      <vt:lpstr>文件名称</vt:lpstr>
      <vt:lpstr>项目号</vt:lpstr>
      <vt:lpstr>原材料汇总表!序号</vt:lpstr>
      <vt:lpstr>原材料分项表标题</vt:lpstr>
      <vt:lpstr>原材料汇总标题</vt:lpstr>
      <vt:lpstr>原材料汇总表标题</vt:lpstr>
      <vt:lpstr>原材料汇总表!原材料名称</vt:lpstr>
      <vt:lpstr>原材料名称</vt:lpstr>
      <vt:lpstr>主代号</vt:lpstr>
      <vt:lpstr>主名称</vt:lpstr>
      <vt:lpstr>装配体</vt:lpstr>
      <vt:lpstr>原材料汇总表!总计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2020-04-27T03:46:58Z</cp:lastPrinted>
  <dcterms:created xsi:type="dcterms:W3CDTF">2017-11-28T14:28:58Z</dcterms:created>
  <dcterms:modified xsi:type="dcterms:W3CDTF">2020-04-29T08:35:23Z</dcterms:modified>
</cp:coreProperties>
</file>