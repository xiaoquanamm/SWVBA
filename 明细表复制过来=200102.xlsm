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315" windowWidth="21840" windowHeight="11985"/>
  </bookViews>
  <sheets>
    <sheet name="Sheet1" sheetId="1" r:id="rId1"/>
    <sheet name="Sheet1 (2)" sheetId="4" r:id="rId2"/>
    <sheet name="Sheet2" sheetId="2" r:id="rId3"/>
    <sheet name="Sheet3" sheetId="3" r:id="rId4"/>
  </sheets>
  <functionGroups/>
  <definedNames>
    <definedName name="_xlnm._FilterDatabase" localSheetId="0" hidden="1">Sheet1!$A$2:$H$2</definedName>
    <definedName name="_xlnm._FilterDatabase" localSheetId="1" hidden="1">'Sheet1 (2)'!$A$2:$H$2</definedName>
  </definedNames>
  <calcPr calcId="124519"/>
</workbook>
</file>

<file path=xl/calcChain.xml><?xml version="1.0" encoding="utf-8"?>
<calcChain xmlns="http://schemas.openxmlformats.org/spreadsheetml/2006/main">
  <c r="Q16" i="4"/>
  <c r="P16"/>
  <c r="O16"/>
  <c r="N16"/>
  <c r="Q15"/>
  <c r="P15"/>
  <c r="O15"/>
  <c r="N15"/>
  <c r="Q14"/>
  <c r="P14"/>
  <c r="O14"/>
  <c r="N14"/>
  <c r="Q13"/>
  <c r="P13"/>
  <c r="O13"/>
  <c r="N13"/>
  <c r="Q12"/>
  <c r="P12"/>
  <c r="O12"/>
  <c r="N12"/>
  <c r="Q11"/>
  <c r="P11"/>
  <c r="O11"/>
  <c r="N11"/>
  <c r="Q10"/>
  <c r="P10"/>
  <c r="O10"/>
  <c r="N10"/>
  <c r="Q9"/>
  <c r="P9"/>
  <c r="O9"/>
  <c r="N9"/>
  <c r="Q8"/>
  <c r="P8"/>
  <c r="O8"/>
  <c r="N8"/>
  <c r="Q7"/>
  <c r="P7"/>
  <c r="O7"/>
  <c r="N7"/>
  <c r="Q6"/>
  <c r="P6"/>
  <c r="O6"/>
  <c r="N6"/>
  <c r="Q5"/>
  <c r="P5"/>
  <c r="O5"/>
  <c r="N5"/>
  <c r="Q4"/>
  <c r="P4"/>
  <c r="O4"/>
  <c r="N4"/>
  <c r="Q3"/>
  <c r="P3"/>
  <c r="O3"/>
  <c r="N3"/>
  <c r="Q7" i="1"/>
  <c r="P7"/>
  <c r="O7"/>
  <c r="N7"/>
  <c r="Q6"/>
  <c r="P6"/>
  <c r="O6"/>
  <c r="N6"/>
  <c r="Q5"/>
  <c r="P5"/>
  <c r="O5"/>
  <c r="N5"/>
  <c r="Q4"/>
  <c r="P4"/>
  <c r="O4"/>
  <c r="N4"/>
  <c r="P3"/>
  <c r="Q3"/>
  <c r="O3"/>
  <c r="N3"/>
</calcChain>
</file>

<file path=xl/sharedStrings.xml><?xml version="1.0" encoding="utf-8"?>
<sst xmlns="http://schemas.openxmlformats.org/spreadsheetml/2006/main" count="126" uniqueCount="54">
  <si>
    <t>序号</t>
    <phoneticPr fontId="1" type="noConversion"/>
  </si>
  <si>
    <t>代号</t>
    <phoneticPr fontId="1" type="noConversion"/>
  </si>
  <si>
    <t>名称</t>
    <phoneticPr fontId="1" type="noConversion"/>
  </si>
  <si>
    <t>规格</t>
    <phoneticPr fontId="1" type="noConversion"/>
  </si>
  <si>
    <t>数量</t>
    <phoneticPr fontId="1" type="noConversion"/>
  </si>
  <si>
    <t>材料</t>
    <phoneticPr fontId="1" type="noConversion"/>
  </si>
  <si>
    <t>单重</t>
    <phoneticPr fontId="1" type="noConversion"/>
  </si>
  <si>
    <t>备注</t>
    <phoneticPr fontId="1" type="noConversion"/>
  </si>
  <si>
    <t>Mn13</t>
    <phoneticPr fontId="1" type="noConversion"/>
  </si>
  <si>
    <t>激光下料</t>
    <phoneticPr fontId="1" type="noConversion"/>
  </si>
  <si>
    <t>MND-1030P11-2.7-1</t>
  </si>
  <si>
    <t>螺旋盖板</t>
  </si>
  <si>
    <t>1105×380厚3</t>
  </si>
  <si>
    <t>MND-1030P11-2.7.1-4</t>
  </si>
  <si>
    <t>钢板</t>
  </si>
  <si>
    <t>MND-1030P11-2.7.1-3</t>
  </si>
  <si>
    <t>MND-1030P11-2.7.1-2</t>
  </si>
  <si>
    <t>MND-1030P11-2.7.1-1</t>
  </si>
  <si>
    <t>叶片</t>
  </si>
  <si>
    <t>1105X380厚3</t>
  </si>
  <si>
    <t>MND-1030P11-2.7.3</t>
  </si>
  <si>
    <t>收料口</t>
  </si>
  <si>
    <t>MND-1030P11-2.7.3-1</t>
  </si>
  <si>
    <t>连接板</t>
  </si>
  <si>
    <t>MND-1030P11-2.7.3-2</t>
  </si>
  <si>
    <t>下料口</t>
  </si>
  <si>
    <t>MND-1030P11-2.7.4-1</t>
  </si>
  <si>
    <t>55X55厚8</t>
  </si>
  <si>
    <t>MND-1030P11-2.7.4-2</t>
  </si>
  <si>
    <t>电机固定板</t>
  </si>
  <si>
    <t>340X340厚10</t>
  </si>
  <si>
    <t>MND-1030P11-2.7.4-3</t>
  </si>
  <si>
    <t>电机固定支脚</t>
  </si>
  <si>
    <t>224.32X111.21厚10</t>
  </si>
  <si>
    <t>MND-1030P11-2.7.4-4</t>
  </si>
  <si>
    <t>角筋</t>
  </si>
  <si>
    <t>50.17X50厚8</t>
  </si>
  <si>
    <t>MND-1030P11-2.5.4.7</t>
  </si>
  <si>
    <t>漏沙板</t>
  </si>
  <si>
    <t>序号</t>
  </si>
  <si>
    <t>代号</t>
  </si>
  <si>
    <t>名称</t>
  </si>
  <si>
    <t>规格</t>
  </si>
  <si>
    <t>数量</t>
  </si>
  <si>
    <t>材料</t>
  </si>
  <si>
    <t>重量</t>
  </si>
  <si>
    <t>备注</t>
  </si>
  <si>
    <t>备注</t>
    <phoneticPr fontId="1" type="noConversion"/>
  </si>
  <si>
    <t>厚3</t>
  </si>
  <si>
    <t>Q235A</t>
  </si>
  <si>
    <t>机尾C型钢-板1</t>
  </si>
  <si>
    <t>机尾C型钢-框板</t>
  </si>
  <si>
    <t>机尾C型钢-板2</t>
  </si>
  <si>
    <t>厚2</t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</si>
</sst>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00B05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0" borderId="0" xfId="0" applyFont="1" applyAlignment="1">
      <alignment horizontal="center" wrapText="1" shrinkToFit="1"/>
    </xf>
    <xf numFmtId="0" fontId="3" fillId="0" borderId="0" xfId="0" applyFont="1" applyFill="1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0" fontId="3" fillId="2" borderId="0" xfId="0" applyFont="1" applyFill="1" applyAlignment="1">
      <alignment horizontal="center" vertical="center" shrinkToFit="1"/>
    </xf>
    <xf numFmtId="0" fontId="0" fillId="2" borderId="0" xfId="0" applyFill="1" applyAlignment="1">
      <alignment horizontal="center" vertical="center" shrinkToFit="1"/>
    </xf>
  </cellXfs>
  <cellStyles count="1">
    <cellStyle name="常规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复制明细表"/>
  <ax:ocxPr ax:name="Size" ax:value="251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复制明细表"/>
  <ax:ocxPr ax:name="Size" ax:value="251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6"/>
  <sheetViews>
    <sheetView tabSelected="1" zoomScale="145" zoomScaleNormal="145" workbookViewId="0">
      <pane ySplit="2" topLeftCell="A3" activePane="bottomLeft" state="frozen"/>
      <selection pane="bottomLeft" activeCell="F10" sqref="F10"/>
    </sheetView>
  </sheetViews>
  <sheetFormatPr defaultRowHeight="13.5"/>
  <cols>
    <col min="1" max="1" width="5.25" customWidth="1"/>
    <col min="2" max="2" width="8.75" bestFit="1" customWidth="1"/>
    <col min="3" max="3" width="18.125" customWidth="1"/>
    <col min="4" max="4" width="20.125" customWidth="1"/>
    <col min="5" max="5" width="12.625" customWidth="1"/>
    <col min="6" max="7" width="9" customWidth="1"/>
    <col min="8" max="8" width="14.125" customWidth="1"/>
    <col min="9" max="9" width="3.5" customWidth="1"/>
    <col min="10" max="10" width="21.375" bestFit="1" customWidth="1"/>
    <col min="12" max="12" width="11.25" customWidth="1"/>
    <col min="13" max="13" width="3.5" bestFit="1" customWidth="1"/>
    <col min="14" max="15" width="5.5" bestFit="1" customWidth="1"/>
    <col min="16" max="16" width="6.5" bestFit="1" customWidth="1"/>
  </cols>
  <sheetData>
    <row r="1" spans="1:17" ht="24.75" customHeight="1"/>
    <row r="2" spans="1:17" s="2" customFormat="1" ht="24">
      <c r="A2" s="2">
        <v>3</v>
      </c>
      <c r="C2" s="2" t="s">
        <v>52</v>
      </c>
      <c r="D2" s="2" t="s">
        <v>53</v>
      </c>
      <c r="E2" s="2">
        <v>1</v>
      </c>
      <c r="F2" s="2" t="s">
        <v>49</v>
      </c>
      <c r="G2" s="2">
        <v>0</v>
      </c>
      <c r="I2" s="2" t="s">
        <v>47</v>
      </c>
      <c r="J2" s="2" t="s">
        <v>1</v>
      </c>
      <c r="K2" s="2" t="s">
        <v>2</v>
      </c>
      <c r="L2" s="2" t="s">
        <v>3</v>
      </c>
      <c r="M2" s="2" t="s">
        <v>4</v>
      </c>
    </row>
    <row r="3" spans="1:17" s="1" customFormat="1">
      <c r="A3" s="1">
        <v>2</v>
      </c>
      <c r="C3" s="1" t="s">
        <v>50</v>
      </c>
      <c r="D3" s="1" t="s">
        <v>48</v>
      </c>
      <c r="E3" s="1">
        <v>1</v>
      </c>
      <c r="F3" s="1" t="s">
        <v>49</v>
      </c>
      <c r="G3" s="1">
        <v>0.2</v>
      </c>
      <c r="J3" s="3"/>
      <c r="K3" s="3"/>
      <c r="L3" s="3"/>
      <c r="M3" s="4"/>
      <c r="N3" s="1" t="b">
        <f>B3=J3</f>
        <v>1</v>
      </c>
      <c r="O3" s="1" t="b">
        <f>C3=K3</f>
        <v>0</v>
      </c>
      <c r="P3" s="1" t="b">
        <f>D3=L3</f>
        <v>0</v>
      </c>
      <c r="Q3" s="1" t="b">
        <f>E3=M3</f>
        <v>0</v>
      </c>
    </row>
    <row r="4" spans="1:17">
      <c r="A4" s="1">
        <v>1</v>
      </c>
      <c r="B4" s="1"/>
      <c r="C4" s="1" t="s">
        <v>51</v>
      </c>
      <c r="D4" s="1" t="s">
        <v>48</v>
      </c>
      <c r="E4" s="1">
        <v>1</v>
      </c>
      <c r="F4" s="1" t="s">
        <v>49</v>
      </c>
      <c r="G4" s="1">
        <v>1.7</v>
      </c>
      <c r="H4" s="1"/>
      <c r="I4" s="1"/>
      <c r="J4" s="3"/>
      <c r="K4" s="3"/>
      <c r="L4" s="3"/>
      <c r="M4" s="4"/>
      <c r="N4" s="1" t="b">
        <f t="shared" ref="N4:N7" si="0">B4=J4</f>
        <v>1</v>
      </c>
      <c r="O4" s="1" t="b">
        <f t="shared" ref="O4:O7" si="1">C4=K4</f>
        <v>0</v>
      </c>
      <c r="P4" s="1" t="b">
        <f t="shared" ref="P4:P7" si="2">D4=L4</f>
        <v>0</v>
      </c>
      <c r="Q4" s="1" t="b">
        <f t="shared" ref="Q4:Q7" si="3">E4=M4</f>
        <v>0</v>
      </c>
    </row>
    <row r="5" spans="1:17">
      <c r="A5" s="1" t="s">
        <v>39</v>
      </c>
      <c r="B5" s="1" t="s">
        <v>40</v>
      </c>
      <c r="C5" s="1" t="s">
        <v>41</v>
      </c>
      <c r="D5" s="1" t="s">
        <v>42</v>
      </c>
      <c r="E5" s="1" t="s">
        <v>43</v>
      </c>
      <c r="F5" s="1" t="s">
        <v>44</v>
      </c>
      <c r="G5" s="1" t="s">
        <v>45</v>
      </c>
      <c r="H5" s="1" t="s">
        <v>46</v>
      </c>
      <c r="I5" s="1"/>
      <c r="J5" s="3"/>
      <c r="K5" s="3"/>
      <c r="L5" s="3"/>
      <c r="M5" s="4"/>
      <c r="N5" s="1" t="b">
        <f t="shared" si="0"/>
        <v>0</v>
      </c>
      <c r="O5" s="1" t="b">
        <f t="shared" si="1"/>
        <v>0</v>
      </c>
      <c r="P5" s="1" t="b">
        <f t="shared" si="2"/>
        <v>0</v>
      </c>
      <c r="Q5" s="1" t="b">
        <f t="shared" si="3"/>
        <v>0</v>
      </c>
    </row>
    <row r="6" spans="1:17">
      <c r="A6" s="1"/>
      <c r="B6" s="1"/>
      <c r="C6" s="1"/>
      <c r="D6" s="1"/>
      <c r="E6" s="1"/>
      <c r="F6" s="1"/>
      <c r="G6" s="1"/>
      <c r="H6" s="1"/>
      <c r="I6" s="1"/>
      <c r="J6" s="3"/>
      <c r="K6" s="3"/>
      <c r="L6" s="3"/>
      <c r="M6" s="4"/>
      <c r="N6" s="1" t="b">
        <f t="shared" si="0"/>
        <v>1</v>
      </c>
      <c r="O6" s="1" t="b">
        <f t="shared" si="1"/>
        <v>1</v>
      </c>
      <c r="P6" s="1" t="b">
        <f t="shared" si="2"/>
        <v>1</v>
      </c>
      <c r="Q6" s="1" t="b">
        <f t="shared" si="3"/>
        <v>1</v>
      </c>
    </row>
    <row r="7" spans="1:17">
      <c r="A7" s="1"/>
      <c r="B7" s="1"/>
      <c r="C7" s="1"/>
      <c r="D7" s="1"/>
      <c r="E7" s="1"/>
      <c r="F7" s="1"/>
      <c r="G7" s="1"/>
      <c r="H7" s="1"/>
      <c r="I7" s="1"/>
      <c r="J7" s="3"/>
      <c r="K7" s="3"/>
      <c r="L7" s="3"/>
      <c r="M7" s="4"/>
      <c r="N7" s="1" t="b">
        <f t="shared" si="0"/>
        <v>1</v>
      </c>
      <c r="O7" s="1" t="b">
        <f t="shared" si="1"/>
        <v>1</v>
      </c>
      <c r="P7" s="1" t="b">
        <f t="shared" si="2"/>
        <v>1</v>
      </c>
      <c r="Q7" s="1" t="b">
        <f t="shared" si="3"/>
        <v>1</v>
      </c>
    </row>
    <row r="8" spans="1:17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7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7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7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7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7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7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7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7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</sheetData>
  <phoneticPr fontId="1" type="noConversion"/>
  <conditionalFormatting sqref="N1:Q1048576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legacyDrawing r:id="rId2"/>
  <controls>
    <control shapeId="1025" r:id="rId3" name="CommandButton复制明细表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16"/>
  <sheetViews>
    <sheetView zoomScale="145" zoomScaleNormal="145" workbookViewId="0">
      <pane ySplit="2" topLeftCell="A3" activePane="bottomLeft" state="frozen"/>
      <selection pane="bottomLeft" activeCell="B3" sqref="B3:E16"/>
    </sheetView>
  </sheetViews>
  <sheetFormatPr defaultRowHeight="13.5"/>
  <cols>
    <col min="1" max="1" width="5.25" customWidth="1"/>
    <col min="2" max="2" width="25" bestFit="1" customWidth="1"/>
    <col min="3" max="3" width="18.125" customWidth="1"/>
    <col min="4" max="4" width="13.625" bestFit="1" customWidth="1"/>
    <col min="5" max="5" width="6.75" bestFit="1" customWidth="1"/>
    <col min="6" max="7" width="9" hidden="1" customWidth="1"/>
    <col min="8" max="8" width="14.125" hidden="1" customWidth="1"/>
    <col min="9" max="9" width="3.5" customWidth="1"/>
    <col min="10" max="10" width="21.375" bestFit="1" customWidth="1"/>
    <col min="12" max="12" width="11.25" customWidth="1"/>
    <col min="13" max="13" width="3.5" bestFit="1" customWidth="1"/>
    <col min="14" max="15" width="5.5" bestFit="1" customWidth="1"/>
    <col min="16" max="16" width="6.5" bestFit="1" customWidth="1"/>
  </cols>
  <sheetData>
    <row r="1" spans="1:17" ht="24.75" customHeight="1"/>
    <row r="2" spans="1:17" s="2" customFormat="1" ht="24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J2" s="2" t="s">
        <v>1</v>
      </c>
      <c r="K2" s="2" t="s">
        <v>2</v>
      </c>
      <c r="L2" s="2" t="s">
        <v>3</v>
      </c>
      <c r="M2" s="2" t="s">
        <v>4</v>
      </c>
    </row>
    <row r="3" spans="1:17" s="1" customFormat="1">
      <c r="B3" s="5" t="s">
        <v>37</v>
      </c>
      <c r="C3" s="5" t="s">
        <v>38</v>
      </c>
      <c r="D3" s="5"/>
      <c r="E3" s="6">
        <v>2</v>
      </c>
      <c r="F3" s="1" t="s">
        <v>8</v>
      </c>
      <c r="G3" s="1">
        <v>21</v>
      </c>
      <c r="H3" s="1" t="s">
        <v>9</v>
      </c>
      <c r="J3" s="3" t="s">
        <v>10</v>
      </c>
      <c r="K3" s="3" t="s">
        <v>11</v>
      </c>
      <c r="L3" s="3" t="s">
        <v>12</v>
      </c>
      <c r="M3" s="4">
        <v>1</v>
      </c>
      <c r="N3" s="1" t="b">
        <f>B3=J3</f>
        <v>0</v>
      </c>
      <c r="O3" s="1" t="b">
        <f>C3=K3</f>
        <v>0</v>
      </c>
      <c r="P3" s="1" t="b">
        <f>D3=L3</f>
        <v>0</v>
      </c>
      <c r="Q3" s="1" t="b">
        <f>E3=M3</f>
        <v>0</v>
      </c>
    </row>
    <row r="4" spans="1:17">
      <c r="A4" s="1">
        <v>7</v>
      </c>
      <c r="B4" s="3" t="s">
        <v>17</v>
      </c>
      <c r="C4" s="3" t="s">
        <v>18</v>
      </c>
      <c r="D4" s="3"/>
      <c r="E4" s="4">
        <v>1</v>
      </c>
      <c r="F4" s="1" t="s">
        <v>8</v>
      </c>
      <c r="G4" s="1">
        <v>1.5</v>
      </c>
      <c r="H4" s="1" t="s">
        <v>9</v>
      </c>
      <c r="I4" s="1"/>
      <c r="J4" s="3" t="s">
        <v>13</v>
      </c>
      <c r="K4" s="3" t="s">
        <v>14</v>
      </c>
      <c r="L4" s="3"/>
      <c r="M4" s="4">
        <v>1</v>
      </c>
      <c r="N4" s="1" t="b">
        <f t="shared" ref="N4:Q16" si="0">B4=J4</f>
        <v>0</v>
      </c>
      <c r="O4" s="1" t="b">
        <f t="shared" si="0"/>
        <v>0</v>
      </c>
      <c r="P4" s="1" t="b">
        <f t="shared" si="0"/>
        <v>1</v>
      </c>
      <c r="Q4" s="1" t="b">
        <f t="shared" si="0"/>
        <v>1</v>
      </c>
    </row>
    <row r="5" spans="1:17">
      <c r="A5" s="1">
        <v>11</v>
      </c>
      <c r="B5" s="3" t="s">
        <v>16</v>
      </c>
      <c r="C5" s="3" t="s">
        <v>14</v>
      </c>
      <c r="D5" s="3"/>
      <c r="E5" s="4">
        <v>4</v>
      </c>
      <c r="F5" s="1" t="s">
        <v>8</v>
      </c>
      <c r="G5" s="1">
        <v>33.5</v>
      </c>
      <c r="H5" s="1" t="s">
        <v>9</v>
      </c>
      <c r="I5" s="1"/>
      <c r="J5" s="3" t="s">
        <v>15</v>
      </c>
      <c r="K5" s="3" t="s">
        <v>14</v>
      </c>
      <c r="L5" s="3"/>
      <c r="M5" s="4">
        <v>1</v>
      </c>
      <c r="N5" s="1" t="b">
        <f t="shared" si="0"/>
        <v>0</v>
      </c>
      <c r="O5" s="1" t="b">
        <f t="shared" si="0"/>
        <v>1</v>
      </c>
      <c r="P5" s="1" t="b">
        <f t="shared" si="0"/>
        <v>1</v>
      </c>
      <c r="Q5" s="1" t="b">
        <f t="shared" si="0"/>
        <v>0</v>
      </c>
    </row>
    <row r="6" spans="1:17">
      <c r="A6" s="1">
        <v>10</v>
      </c>
      <c r="B6" s="3" t="s">
        <v>15</v>
      </c>
      <c r="C6" s="3" t="s">
        <v>14</v>
      </c>
      <c r="D6" s="3"/>
      <c r="E6" s="4">
        <v>1</v>
      </c>
      <c r="F6" s="1" t="s">
        <v>8</v>
      </c>
      <c r="G6" s="1">
        <v>4.8</v>
      </c>
      <c r="H6" s="1" t="s">
        <v>9</v>
      </c>
      <c r="I6" s="1"/>
      <c r="J6" s="3" t="s">
        <v>16</v>
      </c>
      <c r="K6" s="3" t="s">
        <v>14</v>
      </c>
      <c r="L6" s="3"/>
      <c r="M6" s="4">
        <v>4</v>
      </c>
      <c r="N6" s="1" t="b">
        <f t="shared" si="0"/>
        <v>0</v>
      </c>
      <c r="O6" s="1" t="b">
        <f t="shared" si="0"/>
        <v>1</v>
      </c>
      <c r="P6" s="1" t="b">
        <f t="shared" si="0"/>
        <v>1</v>
      </c>
      <c r="Q6" s="1" t="b">
        <f t="shared" si="0"/>
        <v>0</v>
      </c>
    </row>
    <row r="7" spans="1:17">
      <c r="A7" s="1">
        <v>9</v>
      </c>
      <c r="B7" s="3" t="s">
        <v>13</v>
      </c>
      <c r="C7" s="3" t="s">
        <v>14</v>
      </c>
      <c r="D7" s="3"/>
      <c r="E7" s="4">
        <v>1</v>
      </c>
      <c r="F7" s="1" t="s">
        <v>8</v>
      </c>
      <c r="G7" s="1">
        <v>5.4</v>
      </c>
      <c r="H7" s="1" t="s">
        <v>9</v>
      </c>
      <c r="I7" s="1"/>
      <c r="J7" s="3" t="s">
        <v>17</v>
      </c>
      <c r="K7" s="3" t="s">
        <v>18</v>
      </c>
      <c r="L7" s="3"/>
      <c r="M7" s="4">
        <v>1</v>
      </c>
      <c r="N7" s="1" t="b">
        <f t="shared" si="0"/>
        <v>0</v>
      </c>
      <c r="O7" s="1" t="b">
        <f t="shared" si="0"/>
        <v>0</v>
      </c>
      <c r="P7" s="1" t="b">
        <f t="shared" si="0"/>
        <v>1</v>
      </c>
      <c r="Q7" s="1" t="b">
        <f t="shared" si="0"/>
        <v>1</v>
      </c>
    </row>
    <row r="8" spans="1:17">
      <c r="A8" s="1">
        <v>5</v>
      </c>
      <c r="B8" s="3" t="s">
        <v>20</v>
      </c>
      <c r="C8" s="3" t="s">
        <v>21</v>
      </c>
      <c r="D8" s="3"/>
      <c r="E8" s="4">
        <v>1</v>
      </c>
      <c r="F8" s="1" t="s">
        <v>8</v>
      </c>
      <c r="G8" s="1">
        <v>13.6</v>
      </c>
      <c r="H8" s="1" t="s">
        <v>9</v>
      </c>
      <c r="I8" s="1"/>
      <c r="J8" s="3"/>
      <c r="K8" s="3"/>
      <c r="L8" s="3" t="s">
        <v>19</v>
      </c>
      <c r="M8" s="4">
        <v>1</v>
      </c>
      <c r="N8" s="1" t="b">
        <f t="shared" si="0"/>
        <v>0</v>
      </c>
      <c r="O8" s="1" t="b">
        <f t="shared" si="0"/>
        <v>0</v>
      </c>
      <c r="P8" s="1" t="b">
        <f t="shared" si="0"/>
        <v>0</v>
      </c>
      <c r="Q8" s="1" t="b">
        <f t="shared" si="0"/>
        <v>1</v>
      </c>
    </row>
    <row r="9" spans="1:17">
      <c r="A9" s="1">
        <v>4</v>
      </c>
      <c r="B9" s="3" t="s">
        <v>22</v>
      </c>
      <c r="C9" s="3" t="s">
        <v>23</v>
      </c>
      <c r="D9" s="3"/>
      <c r="E9" s="4">
        <v>1</v>
      </c>
      <c r="F9" s="1" t="s">
        <v>8</v>
      </c>
      <c r="G9" s="1">
        <v>23.3</v>
      </c>
      <c r="H9" s="1" t="s">
        <v>9</v>
      </c>
      <c r="I9" s="1"/>
      <c r="J9" s="3" t="s">
        <v>20</v>
      </c>
      <c r="K9" s="3" t="s">
        <v>21</v>
      </c>
      <c r="L9" s="3"/>
      <c r="M9" s="4">
        <v>1</v>
      </c>
      <c r="N9" s="1" t="b">
        <f t="shared" si="0"/>
        <v>0</v>
      </c>
      <c r="O9" s="1" t="b">
        <f t="shared" si="0"/>
        <v>0</v>
      </c>
      <c r="P9" s="1" t="b">
        <f t="shared" si="0"/>
        <v>1</v>
      </c>
      <c r="Q9" s="1" t="b">
        <f t="shared" si="0"/>
        <v>1</v>
      </c>
    </row>
    <row r="10" spans="1:17">
      <c r="A10" s="1">
        <v>3</v>
      </c>
      <c r="B10" s="3" t="s">
        <v>24</v>
      </c>
      <c r="C10" s="3" t="s">
        <v>25</v>
      </c>
      <c r="D10" s="3"/>
      <c r="E10" s="4">
        <v>2</v>
      </c>
      <c r="F10" s="1" t="s">
        <v>8</v>
      </c>
      <c r="G10" s="1">
        <v>20.3</v>
      </c>
      <c r="H10" s="1" t="s">
        <v>9</v>
      </c>
      <c r="I10" s="1"/>
      <c r="J10" s="3" t="s">
        <v>22</v>
      </c>
      <c r="K10" s="3" t="s">
        <v>23</v>
      </c>
      <c r="L10" s="3"/>
      <c r="M10" s="4">
        <v>1</v>
      </c>
      <c r="N10" s="1" t="b">
        <f t="shared" si="0"/>
        <v>0</v>
      </c>
      <c r="O10" s="1" t="b">
        <f t="shared" si="0"/>
        <v>0</v>
      </c>
      <c r="P10" s="1" t="b">
        <f t="shared" si="0"/>
        <v>1</v>
      </c>
      <c r="Q10" s="1" t="b">
        <f t="shared" si="0"/>
        <v>0</v>
      </c>
    </row>
    <row r="11" spans="1:17">
      <c r="A11" s="1">
        <v>1</v>
      </c>
      <c r="B11" s="3" t="s">
        <v>26</v>
      </c>
      <c r="C11" s="3" t="s">
        <v>23</v>
      </c>
      <c r="D11" s="3" t="s">
        <v>27</v>
      </c>
      <c r="E11" s="4">
        <v>1</v>
      </c>
      <c r="F11" s="1" t="s">
        <v>8</v>
      </c>
      <c r="G11" s="1">
        <v>12.3</v>
      </c>
      <c r="H11" s="1" t="s">
        <v>9</v>
      </c>
      <c r="I11" s="1"/>
      <c r="J11" s="3" t="s">
        <v>24</v>
      </c>
      <c r="K11" s="3" t="s">
        <v>25</v>
      </c>
      <c r="L11" s="3"/>
      <c r="M11" s="4">
        <v>2</v>
      </c>
      <c r="N11" s="1" t="b">
        <f t="shared" si="0"/>
        <v>0</v>
      </c>
      <c r="O11" s="1" t="b">
        <f t="shared" si="0"/>
        <v>0</v>
      </c>
      <c r="P11" s="1" t="b">
        <f t="shared" si="0"/>
        <v>0</v>
      </c>
      <c r="Q11" s="1" t="b">
        <f t="shared" si="0"/>
        <v>0</v>
      </c>
    </row>
    <row r="12" spans="1:17">
      <c r="A12" s="1">
        <v>6</v>
      </c>
      <c r="B12" s="3" t="s">
        <v>28</v>
      </c>
      <c r="C12" s="3" t="s">
        <v>29</v>
      </c>
      <c r="D12" s="3" t="s">
        <v>30</v>
      </c>
      <c r="E12" s="4">
        <v>1</v>
      </c>
      <c r="F12" s="1" t="s">
        <v>8</v>
      </c>
      <c r="G12" s="1">
        <v>2</v>
      </c>
      <c r="H12" s="1" t="s">
        <v>9</v>
      </c>
      <c r="I12" s="1"/>
      <c r="J12" s="3" t="s">
        <v>26</v>
      </c>
      <c r="K12" s="3" t="s">
        <v>23</v>
      </c>
      <c r="L12" s="3" t="s">
        <v>27</v>
      </c>
      <c r="M12" s="4">
        <v>1</v>
      </c>
      <c r="N12" s="1" t="b">
        <f t="shared" si="0"/>
        <v>0</v>
      </c>
      <c r="O12" s="1" t="b">
        <f t="shared" si="0"/>
        <v>0</v>
      </c>
      <c r="P12" s="1" t="b">
        <f t="shared" si="0"/>
        <v>0</v>
      </c>
      <c r="Q12" s="1" t="b">
        <f t="shared" si="0"/>
        <v>1</v>
      </c>
    </row>
    <row r="13" spans="1:17">
      <c r="A13" s="1"/>
      <c r="B13" s="3" t="s">
        <v>31</v>
      </c>
      <c r="C13" s="3" t="s">
        <v>32</v>
      </c>
      <c r="D13" s="3" t="s">
        <v>33</v>
      </c>
      <c r="E13" s="4">
        <v>2</v>
      </c>
      <c r="F13" s="1" t="s">
        <v>8</v>
      </c>
      <c r="G13" s="1">
        <v>5.3</v>
      </c>
      <c r="H13" s="1" t="s">
        <v>9</v>
      </c>
      <c r="I13" s="1"/>
      <c r="J13" s="3" t="s">
        <v>28</v>
      </c>
      <c r="K13" s="3" t="s">
        <v>29</v>
      </c>
      <c r="L13" s="3" t="s">
        <v>30</v>
      </c>
      <c r="M13" s="4">
        <v>1</v>
      </c>
      <c r="N13" s="1" t="b">
        <f t="shared" si="0"/>
        <v>0</v>
      </c>
      <c r="O13" s="1" t="b">
        <f t="shared" si="0"/>
        <v>0</v>
      </c>
      <c r="P13" s="1" t="b">
        <f t="shared" si="0"/>
        <v>0</v>
      </c>
      <c r="Q13" s="1" t="b">
        <f t="shared" si="0"/>
        <v>0</v>
      </c>
    </row>
    <row r="14" spans="1:17">
      <c r="A14" s="1"/>
      <c r="B14" s="3" t="s">
        <v>34</v>
      </c>
      <c r="C14" s="3" t="s">
        <v>35</v>
      </c>
      <c r="D14" s="3" t="s">
        <v>36</v>
      </c>
      <c r="E14" s="4">
        <v>2</v>
      </c>
      <c r="F14" s="1" t="s">
        <v>8</v>
      </c>
      <c r="G14" s="1">
        <v>22.7</v>
      </c>
      <c r="H14" s="1" t="s">
        <v>9</v>
      </c>
      <c r="I14" s="1"/>
      <c r="J14" s="3" t="s">
        <v>31</v>
      </c>
      <c r="K14" s="3" t="s">
        <v>32</v>
      </c>
      <c r="L14" s="3" t="s">
        <v>33</v>
      </c>
      <c r="M14" s="4">
        <v>2</v>
      </c>
      <c r="N14" s="1" t="b">
        <f t="shared" si="0"/>
        <v>0</v>
      </c>
      <c r="O14" s="1" t="b">
        <f t="shared" si="0"/>
        <v>0</v>
      </c>
      <c r="P14" s="1" t="b">
        <f t="shared" si="0"/>
        <v>0</v>
      </c>
      <c r="Q14" s="1" t="b">
        <f t="shared" si="0"/>
        <v>1</v>
      </c>
    </row>
    <row r="15" spans="1:17">
      <c r="A15" s="1">
        <v>8</v>
      </c>
      <c r="B15" s="3" t="s">
        <v>10</v>
      </c>
      <c r="C15" s="3" t="s">
        <v>11</v>
      </c>
      <c r="D15" s="3" t="s">
        <v>12</v>
      </c>
      <c r="E15" s="4">
        <v>1</v>
      </c>
      <c r="F15" s="1" t="s">
        <v>8</v>
      </c>
      <c r="G15" s="1">
        <v>5.6</v>
      </c>
      <c r="H15" s="1" t="s">
        <v>9</v>
      </c>
      <c r="I15" s="1"/>
      <c r="J15" s="3" t="s">
        <v>34</v>
      </c>
      <c r="K15" s="3" t="s">
        <v>35</v>
      </c>
      <c r="L15" s="3" t="s">
        <v>36</v>
      </c>
      <c r="M15" s="4">
        <v>2</v>
      </c>
      <c r="N15" s="1" t="b">
        <f t="shared" si="0"/>
        <v>0</v>
      </c>
      <c r="O15" s="1" t="b">
        <f t="shared" si="0"/>
        <v>0</v>
      </c>
      <c r="P15" s="1" t="b">
        <f t="shared" si="0"/>
        <v>0</v>
      </c>
      <c r="Q15" s="1" t="b">
        <f t="shared" si="0"/>
        <v>0</v>
      </c>
    </row>
    <row r="16" spans="1:17">
      <c r="A16" s="1">
        <v>2</v>
      </c>
      <c r="B16" s="3"/>
      <c r="C16" s="3"/>
      <c r="D16" s="3" t="s">
        <v>19</v>
      </c>
      <c r="E16" s="4">
        <v>1</v>
      </c>
      <c r="F16" s="1" t="s">
        <v>8</v>
      </c>
      <c r="G16" s="1">
        <v>8.3000000000000007</v>
      </c>
      <c r="H16" s="1" t="s">
        <v>9</v>
      </c>
      <c r="I16" s="1"/>
      <c r="J16" s="5" t="s">
        <v>37</v>
      </c>
      <c r="K16" s="5" t="s">
        <v>38</v>
      </c>
      <c r="L16" s="5"/>
      <c r="M16" s="6">
        <v>2</v>
      </c>
      <c r="N16" s="1" t="b">
        <f t="shared" si="0"/>
        <v>0</v>
      </c>
      <c r="O16" s="1" t="b">
        <f t="shared" si="0"/>
        <v>0</v>
      </c>
      <c r="P16" s="1" t="b">
        <f t="shared" si="0"/>
        <v>0</v>
      </c>
      <c r="Q16" s="1" t="b">
        <f t="shared" si="0"/>
        <v>0</v>
      </c>
    </row>
  </sheetData>
  <autoFilter ref="A2:H2">
    <sortState ref="A3:H16">
      <sortCondition ref="B2"/>
    </sortState>
  </autoFilter>
  <phoneticPr fontId="1" type="noConversion"/>
  <conditionalFormatting sqref="N1:Q1048576">
    <cfRule type="cellIs" dxfId="1" priority="1" operator="equal">
      <formula>FALSE</formula>
    </cfRule>
  </conditionalFormatting>
  <pageMargins left="0.7" right="0.7" top="0.75" bottom="0.75" header="0.3" footer="0.3"/>
  <legacyDrawing r:id="rId1"/>
  <controls>
    <control shapeId="2049" r:id="rId2" name="CommandButton复制明细表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Sheet1 (2)</vt:lpstr>
      <vt:lpstr>Sheet2</vt:lpstr>
      <vt:lpstr>Sheet3</vt:lpstr>
    </vt:vector>
  </TitlesOfParts>
  <Company>China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</cp:lastModifiedBy>
  <dcterms:created xsi:type="dcterms:W3CDTF">2018-04-15T02:33:56Z</dcterms:created>
  <dcterms:modified xsi:type="dcterms:W3CDTF">2020-01-02T02:33:27Z</dcterms:modified>
</cp:coreProperties>
</file>